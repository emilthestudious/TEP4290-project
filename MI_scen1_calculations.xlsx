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67ba86a98102bc/TEP4290/Project/TEP4290-project/"/>
    </mc:Choice>
  </mc:AlternateContent>
  <xr:revisionPtr revIDLastSave="7" documentId="8_{A7E5EDBA-60E8-E443-AFB5-ACFC24C8BD58}" xr6:coauthVersionLast="47" xr6:coauthVersionMax="47" xr10:uidLastSave="{A9277877-B8C4-4886-BCE9-1A2526F7E59D}"/>
  <bookViews>
    <workbookView xWindow="-98" yWindow="-98" windowWidth="21795" windowHeight="14235" xr2:uid="{C721BC97-D025-1F49-9F9A-FF54A8AB1673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" i="1" l="1"/>
  <c r="V2" i="1"/>
  <c r="T5" i="1"/>
  <c r="T2" i="1"/>
  <c r="S5" i="1"/>
  <c r="S2" i="1"/>
  <c r="R3" i="1"/>
  <c r="V3" i="1" s="1"/>
  <c r="R4" i="1"/>
  <c r="V4" i="1" s="1"/>
  <c r="R5" i="1"/>
  <c r="U5" i="1" s="1"/>
  <c r="R2" i="1"/>
  <c r="U2" i="1" s="1"/>
  <c r="C12" i="1"/>
  <c r="C13" i="1"/>
  <c r="B12" i="1"/>
  <c r="B13" i="1"/>
  <c r="B14" i="1"/>
  <c r="J3" i="1"/>
  <c r="K3" i="1"/>
  <c r="P5" i="1"/>
  <c r="K4" i="1"/>
  <c r="L4" i="1"/>
  <c r="L3" i="1"/>
  <c r="M3" i="1"/>
  <c r="N3" i="1"/>
  <c r="O3" i="1"/>
  <c r="N2" i="1"/>
  <c r="O2" i="1"/>
  <c r="I3" i="1"/>
  <c r="I4" i="1"/>
  <c r="I5" i="1"/>
  <c r="H14" i="1" s="1"/>
  <c r="I2" i="1"/>
  <c r="P2" i="1" s="1"/>
  <c r="H13" i="1" l="1"/>
  <c r="H12" i="1"/>
  <c r="U4" i="1"/>
  <c r="M2" i="1"/>
  <c r="D14" i="1"/>
  <c r="I14" i="1" s="1"/>
  <c r="G14" i="1"/>
  <c r="K2" i="1"/>
  <c r="P4" i="1"/>
  <c r="N5" i="1"/>
  <c r="S4" i="1"/>
  <c r="E13" i="1" s="1"/>
  <c r="T4" i="1"/>
  <c r="F13" i="1" s="1"/>
  <c r="G13" i="1"/>
  <c r="J5" i="1"/>
  <c r="H11" i="1"/>
  <c r="U3" i="1"/>
  <c r="D11" i="1"/>
  <c r="G11" i="1"/>
  <c r="L2" i="1"/>
  <c r="O5" i="1"/>
  <c r="D13" i="1"/>
  <c r="I13" i="1" s="1"/>
  <c r="J4" i="1"/>
  <c r="O4" i="1"/>
  <c r="M5" i="1"/>
  <c r="C11" i="1"/>
  <c r="D12" i="1"/>
  <c r="I12" i="1" s="1"/>
  <c r="S3" i="1"/>
  <c r="E12" i="1" s="1"/>
  <c r="T3" i="1"/>
  <c r="F12" i="1" s="1"/>
  <c r="G12" i="1"/>
  <c r="J2" i="1"/>
  <c r="N4" i="1"/>
  <c r="L5" i="1"/>
  <c r="B11" i="1"/>
  <c r="E11" i="1"/>
  <c r="F11" i="1"/>
  <c r="P3" i="1"/>
  <c r="M4" i="1"/>
  <c r="K5" i="1"/>
  <c r="C14" i="1"/>
  <c r="E14" i="1"/>
  <c r="F14" i="1"/>
  <c r="I11" i="1" l="1"/>
</calcChain>
</file>

<file path=xl/sharedStrings.xml><?xml version="1.0" encoding="utf-8"?>
<sst xmlns="http://schemas.openxmlformats.org/spreadsheetml/2006/main" count="41" uniqueCount="28">
  <si>
    <t>concrete</t>
  </si>
  <si>
    <t>brick</t>
  </si>
  <si>
    <t>wood</t>
  </si>
  <si>
    <t>steel</t>
  </si>
  <si>
    <t>glass</t>
  </si>
  <si>
    <t>aluminum</t>
  </si>
  <si>
    <t>copper</t>
  </si>
  <si>
    <t>Stuehus</t>
  </si>
  <si>
    <t>Parcelhus</t>
  </si>
  <si>
    <t>Rekkehus</t>
  </si>
  <si>
    <t>Etagehus</t>
  </si>
  <si>
    <t>Sum</t>
  </si>
  <si>
    <t>Ratio concrete</t>
  </si>
  <si>
    <t>ratio brick</t>
  </si>
  <si>
    <t>ratio wood</t>
  </si>
  <si>
    <t>ratio steel</t>
  </si>
  <si>
    <t>ratio glass</t>
  </si>
  <si>
    <t>ratio al</t>
  </si>
  <si>
    <t>ratio copper</t>
  </si>
  <si>
    <t xml:space="preserve">New </t>
  </si>
  <si>
    <t>Ratio wood</t>
  </si>
  <si>
    <t>Ratio brick</t>
  </si>
  <si>
    <t>Ratio rest</t>
  </si>
  <si>
    <t>Sum rest</t>
  </si>
  <si>
    <t>ratio steel/rest</t>
  </si>
  <si>
    <t>ratio glass/rest</t>
  </si>
  <si>
    <t>Ratio al/rest</t>
  </si>
  <si>
    <t>Ratio copper/rest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</si>
</sst>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1" fillId="0" borderId="3" xfId="0" applyFont="1" applyBorder="1" applyAlignment="1">
      <alignment horizontal="center" vertical="top"/>
    </xf>
    <xf numFmtId="166" fontId="0" fillId="0" borderId="0" xfId="0" applyNumberFormat="1"/>
    <xf numFmtId="0" fontId="0" fillId="2" borderId="0" xfId="0" applyFill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CC02-B2ED-C043-8F1B-4A3A7A1AD155}">
  <dimension ref="A1:V22"/>
  <sheetViews>
    <sheetView tabSelected="1" workbookViewId="0">
      <selection activeCell="D24" sqref="D24"/>
    </sheetView>
  </sheetViews>
  <sheetFormatPr baseColWidth="10" defaultRowHeight="15.75" x14ac:dyDescent="0.5"/>
  <cols>
    <col min="10" max="10" width="11.6875" bestFit="1" customWidth="1"/>
    <col min="11" max="11" width="14.6875" bestFit="1" customWidth="1"/>
    <col min="12" max="12" width="11.6875" bestFit="1" customWidth="1"/>
    <col min="13" max="13" width="14.6875" bestFit="1" customWidth="1"/>
    <col min="14" max="14" width="11.6875" bestFit="1" customWidth="1"/>
    <col min="15" max="15" width="14.6875" bestFit="1" customWidth="1"/>
    <col min="16" max="16" width="11.6875" bestFit="1" customWidth="1"/>
    <col min="19" max="19" width="12.6875" bestFit="1" customWidth="1"/>
  </cols>
  <sheetData>
    <row r="1" spans="1:22" x14ac:dyDescent="0.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R1" s="5" t="s">
        <v>23</v>
      </c>
      <c r="S1" s="5" t="s">
        <v>24</v>
      </c>
      <c r="T1" s="5" t="s">
        <v>25</v>
      </c>
      <c r="U1" s="5" t="s">
        <v>26</v>
      </c>
      <c r="V1" s="5" t="s">
        <v>27</v>
      </c>
    </row>
    <row r="2" spans="1:22" x14ac:dyDescent="0.5">
      <c r="A2" s="1" t="s">
        <v>7</v>
      </c>
      <c r="B2">
        <v>1014.5</v>
      </c>
      <c r="C2">
        <v>693.3</v>
      </c>
      <c r="D2">
        <v>20.3</v>
      </c>
      <c r="E2">
        <v>70.5</v>
      </c>
      <c r="F2">
        <v>4.0999999999999996</v>
      </c>
      <c r="G2">
        <v>2</v>
      </c>
      <c r="H2">
        <v>0</v>
      </c>
      <c r="I2">
        <f>SUM(B2:H2)</f>
        <v>1804.6999999999998</v>
      </c>
      <c r="J2" s="3">
        <f>B2/$I$2</f>
        <v>0.56214329251399131</v>
      </c>
      <c r="K2" s="3">
        <f t="shared" ref="K2:P2" si="0">C2/$I$2</f>
        <v>0.38416357289300163</v>
      </c>
      <c r="L2" s="3">
        <f t="shared" si="0"/>
        <v>1.1248406937441127E-2</v>
      </c>
      <c r="M2" s="3">
        <f t="shared" si="0"/>
        <v>3.9064664487172385E-2</v>
      </c>
      <c r="N2" s="3">
        <f t="shared" si="0"/>
        <v>2.2718457361334296E-3</v>
      </c>
      <c r="O2" s="3">
        <f t="shared" si="0"/>
        <v>1.1082174322602095E-3</v>
      </c>
      <c r="P2" s="3">
        <f t="shared" si="0"/>
        <v>0</v>
      </c>
      <c r="R2" s="6">
        <f>SUM(E2:H2)</f>
        <v>76.599999999999994</v>
      </c>
      <c r="S2" s="4">
        <f>E2/R2</f>
        <v>0.92036553524804188</v>
      </c>
      <c r="T2" s="4">
        <f>F2/R2</f>
        <v>5.3524804177545689E-2</v>
      </c>
      <c r="U2" s="4">
        <f>G2/R2</f>
        <v>2.6109660574412535E-2</v>
      </c>
      <c r="V2" s="3">
        <f>H2/R2</f>
        <v>0</v>
      </c>
    </row>
    <row r="3" spans="1:22" x14ac:dyDescent="0.5">
      <c r="A3" s="1" t="s">
        <v>8</v>
      </c>
      <c r="B3">
        <v>479</v>
      </c>
      <c r="C3">
        <v>635.29999999999995</v>
      </c>
      <c r="D3">
        <v>54</v>
      </c>
      <c r="E3">
        <v>48</v>
      </c>
      <c r="F3">
        <v>2</v>
      </c>
      <c r="G3">
        <v>2</v>
      </c>
      <c r="H3">
        <v>9</v>
      </c>
      <c r="I3">
        <f t="shared" ref="I3:I5" si="1">SUM(B3:H3)</f>
        <v>1229.3</v>
      </c>
      <c r="J3" s="3">
        <f>B3/$I$3</f>
        <v>0.389652647848369</v>
      </c>
      <c r="K3" s="3">
        <f>C3/$I$3</f>
        <v>0.51679817782477833</v>
      </c>
      <c r="L3" s="3">
        <f t="shared" ref="L3:P3" si="2">D3/$I$3</f>
        <v>4.3927438379565607E-2</v>
      </c>
      <c r="M3" s="3">
        <f t="shared" si="2"/>
        <v>3.9046611892947204E-2</v>
      </c>
      <c r="N3" s="3">
        <f t="shared" si="2"/>
        <v>1.6269421622061337E-3</v>
      </c>
      <c r="O3" s="3">
        <f t="shared" si="2"/>
        <v>1.6269421622061337E-3</v>
      </c>
      <c r="P3" s="3">
        <f t="shared" si="2"/>
        <v>7.3212397299276012E-3</v>
      </c>
      <c r="R3" s="6">
        <f t="shared" ref="R3:R5" si="3">SUM(E3:H3)</f>
        <v>61</v>
      </c>
      <c r="S3" s="4">
        <f>E3/R3</f>
        <v>0.78688524590163933</v>
      </c>
      <c r="T3" s="4">
        <f t="shared" ref="T3:T5" si="4">F3/R3</f>
        <v>3.2786885245901641E-2</v>
      </c>
      <c r="U3" s="4">
        <f t="shared" ref="U3:U5" si="5">G3/R3</f>
        <v>3.2786885245901641E-2</v>
      </c>
      <c r="V3" s="3">
        <f t="shared" ref="V3:V5" si="6">H3/R3</f>
        <v>0.14754098360655737</v>
      </c>
    </row>
    <row r="4" spans="1:22" x14ac:dyDescent="0.5">
      <c r="A4" s="1" t="s">
        <v>9</v>
      </c>
      <c r="B4">
        <v>1014.5</v>
      </c>
      <c r="C4">
        <v>693.3</v>
      </c>
      <c r="D4">
        <v>20.3</v>
      </c>
      <c r="E4">
        <v>70.5</v>
      </c>
      <c r="F4">
        <v>4.0999999999999996</v>
      </c>
      <c r="G4">
        <v>2</v>
      </c>
      <c r="H4">
        <v>0</v>
      </c>
      <c r="I4">
        <f t="shared" si="1"/>
        <v>1804.6999999999998</v>
      </c>
      <c r="J4" s="3">
        <f>B4/$I$4</f>
        <v>0.56214329251399131</v>
      </c>
      <c r="K4" s="3">
        <f t="shared" ref="K4:P4" si="7">C4/$I$4</f>
        <v>0.38416357289300163</v>
      </c>
      <c r="L4" s="3">
        <f t="shared" si="7"/>
        <v>1.1248406937441127E-2</v>
      </c>
      <c r="M4" s="3">
        <f t="shared" si="7"/>
        <v>3.9064664487172385E-2</v>
      </c>
      <c r="N4" s="3">
        <f t="shared" si="7"/>
        <v>2.2718457361334296E-3</v>
      </c>
      <c r="O4" s="3">
        <f t="shared" si="7"/>
        <v>1.1082174322602095E-3</v>
      </c>
      <c r="P4" s="3">
        <f t="shared" si="7"/>
        <v>0</v>
      </c>
      <c r="R4" s="6">
        <f t="shared" si="3"/>
        <v>76.599999999999994</v>
      </c>
      <c r="S4" s="4">
        <f t="shared" ref="S4:S5" si="8">E4/R4</f>
        <v>0.92036553524804188</v>
      </c>
      <c r="T4" s="4">
        <f t="shared" si="4"/>
        <v>5.3524804177545689E-2</v>
      </c>
      <c r="U4" s="4">
        <f t="shared" si="5"/>
        <v>2.6109660574412535E-2</v>
      </c>
      <c r="V4" s="3">
        <f t="shared" si="6"/>
        <v>0</v>
      </c>
    </row>
    <row r="5" spans="1:22" x14ac:dyDescent="0.5">
      <c r="A5" s="1" t="s">
        <v>10</v>
      </c>
      <c r="B5">
        <v>773</v>
      </c>
      <c r="C5">
        <v>390.6</v>
      </c>
      <c r="D5">
        <v>21.9</v>
      </c>
      <c r="E5">
        <v>42.1</v>
      </c>
      <c r="F5">
        <v>3</v>
      </c>
      <c r="G5">
        <v>2.9</v>
      </c>
      <c r="H5">
        <v>0.2</v>
      </c>
      <c r="I5">
        <f t="shared" si="1"/>
        <v>1233.7</v>
      </c>
      <c r="J5" s="8">
        <f>B5/$I$5</f>
        <v>0.62657047904676988</v>
      </c>
      <c r="K5" s="8">
        <f t="shared" ref="K5:P5" si="9">C5/$I$5</f>
        <v>0.31660857582880764</v>
      </c>
      <c r="L5" s="8">
        <f t="shared" si="9"/>
        <v>1.7751479289940825E-2</v>
      </c>
      <c r="M5" s="8">
        <f t="shared" si="9"/>
        <v>3.4124989867877119E-2</v>
      </c>
      <c r="N5" s="8">
        <f t="shared" si="9"/>
        <v>2.4317094917727161E-3</v>
      </c>
      <c r="O5" s="3">
        <f t="shared" si="9"/>
        <v>2.3506525087136254E-3</v>
      </c>
      <c r="P5" s="3">
        <f t="shared" si="9"/>
        <v>1.6211396611818109E-4</v>
      </c>
      <c r="R5" s="6">
        <f t="shared" si="3"/>
        <v>48.2</v>
      </c>
      <c r="S5" s="4">
        <f t="shared" si="8"/>
        <v>0.87344398340248963</v>
      </c>
      <c r="T5" s="4">
        <f t="shared" si="4"/>
        <v>6.2240663900414932E-2</v>
      </c>
      <c r="U5" s="4">
        <f t="shared" si="5"/>
        <v>6.0165975103734434E-2</v>
      </c>
      <c r="V5" s="3">
        <f t="shared" si="6"/>
        <v>4.1493775933609959E-3</v>
      </c>
    </row>
    <row r="9" spans="1:22" x14ac:dyDescent="0.5">
      <c r="A9" t="s">
        <v>19</v>
      </c>
    </row>
    <row r="10" spans="1:22" x14ac:dyDescent="0.5">
      <c r="B10" s="1" t="s">
        <v>0</v>
      </c>
      <c r="C10" s="1" t="s">
        <v>1</v>
      </c>
      <c r="D10" s="1" t="s">
        <v>2</v>
      </c>
      <c r="E10" s="1" t="s">
        <v>3</v>
      </c>
      <c r="F10" s="1" t="s">
        <v>4</v>
      </c>
      <c r="G10" s="1" t="s">
        <v>5</v>
      </c>
      <c r="H10" s="1" t="s">
        <v>6</v>
      </c>
      <c r="I10" s="2" t="s">
        <v>11</v>
      </c>
    </row>
    <row r="11" spans="1:22" x14ac:dyDescent="0.5">
      <c r="A11" s="1" t="s">
        <v>7</v>
      </c>
      <c r="B11">
        <f>I2*$B$21</f>
        <v>812.1149999999999</v>
      </c>
      <c r="C11">
        <f>I2*$B$20</f>
        <v>451.17499999999995</v>
      </c>
      <c r="D11">
        <f>I2*$B$19</f>
        <v>451.17499999999995</v>
      </c>
      <c r="E11">
        <f>I2*$B$22*S2</f>
        <v>83.049184073107057</v>
      </c>
      <c r="F11">
        <f>I2*$B$22*T2</f>
        <v>4.8298107049608348</v>
      </c>
      <c r="G11">
        <f>I2*$B$22*U2</f>
        <v>2.356005221932115</v>
      </c>
      <c r="H11">
        <f>I2*$B$22*V2</f>
        <v>0</v>
      </c>
      <c r="I11">
        <f>SUM(B11:H11)</f>
        <v>1804.6999999999998</v>
      </c>
    </row>
    <row r="12" spans="1:22" x14ac:dyDescent="0.5">
      <c r="A12" s="1" t="s">
        <v>8</v>
      </c>
      <c r="B12">
        <f t="shared" ref="B12:B14" si="10">I3*$B$21</f>
        <v>553.18499999999995</v>
      </c>
      <c r="C12">
        <f t="shared" ref="C12:C14" si="11">I3*$B$20</f>
        <v>307.32499999999999</v>
      </c>
      <c r="D12">
        <f t="shared" ref="D12:D14" si="12">I3*$B$19</f>
        <v>307.32499999999999</v>
      </c>
      <c r="E12">
        <f>I3*$B$22*S3</f>
        <v>48.365901639344266</v>
      </c>
      <c r="F12">
        <f t="shared" ref="F12:F14" si="13">I3*$B$22*T3</f>
        <v>2.0152459016393447</v>
      </c>
      <c r="G12">
        <f t="shared" ref="G12:G14" si="14">I3*$B$22*U3</f>
        <v>2.0152459016393447</v>
      </c>
      <c r="H12">
        <f t="shared" ref="H12:H14" si="15">I3*$B$22*V3</f>
        <v>9.0686065573770502</v>
      </c>
      <c r="I12">
        <f t="shared" ref="I12:I14" si="16">SUM(B12:H12)</f>
        <v>1229.3000000000002</v>
      </c>
    </row>
    <row r="13" spans="1:22" x14ac:dyDescent="0.5">
      <c r="A13" s="1" t="s">
        <v>9</v>
      </c>
      <c r="B13">
        <f t="shared" si="10"/>
        <v>812.1149999999999</v>
      </c>
      <c r="C13">
        <f t="shared" si="11"/>
        <v>451.17499999999995</v>
      </c>
      <c r="D13">
        <f t="shared" si="12"/>
        <v>451.17499999999995</v>
      </c>
      <c r="E13">
        <f t="shared" ref="E13:E14" si="17">I4*$B$22*S4</f>
        <v>83.049184073107057</v>
      </c>
      <c r="F13">
        <f t="shared" si="13"/>
        <v>4.8298107049608348</v>
      </c>
      <c r="G13">
        <f t="shared" si="14"/>
        <v>2.356005221932115</v>
      </c>
      <c r="H13">
        <f t="shared" si="15"/>
        <v>0</v>
      </c>
      <c r="I13">
        <f t="shared" si="16"/>
        <v>1804.6999999999998</v>
      </c>
    </row>
    <row r="14" spans="1:22" x14ac:dyDescent="0.5">
      <c r="A14" s="1" t="s">
        <v>10</v>
      </c>
      <c r="B14" s="7">
        <f t="shared" si="10"/>
        <v>555.16500000000008</v>
      </c>
      <c r="C14" s="7">
        <f t="shared" si="11"/>
        <v>308.42500000000001</v>
      </c>
      <c r="D14" s="7">
        <f t="shared" si="12"/>
        <v>308.42500000000001</v>
      </c>
      <c r="E14" s="7">
        <f t="shared" si="17"/>
        <v>53.878392116182575</v>
      </c>
      <c r="F14" s="7">
        <f t="shared" si="13"/>
        <v>3.8393153526970951</v>
      </c>
      <c r="G14" s="7">
        <f t="shared" si="14"/>
        <v>3.7113381742738589</v>
      </c>
      <c r="H14" s="7">
        <f t="shared" si="15"/>
        <v>0.25595435684647305</v>
      </c>
      <c r="I14" s="7">
        <f t="shared" si="16"/>
        <v>1233.6999999999998</v>
      </c>
    </row>
    <row r="19" spans="1:2" x14ac:dyDescent="0.5">
      <c r="A19" t="s">
        <v>20</v>
      </c>
      <c r="B19">
        <v>0.25</v>
      </c>
    </row>
    <row r="20" spans="1:2" x14ac:dyDescent="0.5">
      <c r="A20" t="s">
        <v>21</v>
      </c>
      <c r="B20">
        <v>0.25</v>
      </c>
    </row>
    <row r="21" spans="1:2" x14ac:dyDescent="0.5">
      <c r="A21" t="s">
        <v>12</v>
      </c>
      <c r="B21">
        <v>0.45</v>
      </c>
    </row>
    <row r="22" spans="1:2" x14ac:dyDescent="0.5">
      <c r="A22" t="s">
        <v>22</v>
      </c>
      <c r="B22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 Nygård Eik</dc:creator>
  <cp:lastModifiedBy>Elin Lauritzsen</cp:lastModifiedBy>
  <dcterms:created xsi:type="dcterms:W3CDTF">2026-04-14T13:16:02Z</dcterms:created>
  <dcterms:modified xsi:type="dcterms:W3CDTF">2026-04-23T08:07:03Z</dcterms:modified>
</cp:coreProperties>
</file>