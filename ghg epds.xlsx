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nygaardeik/Documents/Industrial_Ecology/V_2026/MFA2/Project/TEP4290-project/"/>
    </mc:Choice>
  </mc:AlternateContent>
  <xr:revisionPtr revIDLastSave="0" documentId="13_ncr:1_{3997F7AE-3770-8448-914D-06B5F25A8427}" xr6:coauthVersionLast="47" xr6:coauthVersionMax="47" xr10:uidLastSave="{00000000-0000-0000-0000-000000000000}"/>
  <bookViews>
    <workbookView xWindow="0" yWindow="500" windowWidth="28800" windowHeight="15940" xr2:uid="{FBAB0AC1-3E03-C940-B006-218CDA89644B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K9" i="1"/>
  <c r="K13" i="1"/>
  <c r="K12" i="1"/>
  <c r="K11" i="1"/>
  <c r="K10" i="1"/>
  <c r="K8" i="1"/>
  <c r="K7" i="1"/>
  <c r="H24" i="1"/>
  <c r="H21" i="1"/>
  <c r="H18" i="1"/>
  <c r="H15" i="1"/>
  <c r="H12" i="1"/>
  <c r="H9" i="1"/>
  <c r="E25" i="1"/>
  <c r="H25" i="1" s="1"/>
  <c r="H23" i="1"/>
  <c r="E22" i="1"/>
  <c r="H22" i="1" s="1"/>
  <c r="E20" i="1"/>
  <c r="H20" i="1" s="1"/>
  <c r="E19" i="1"/>
  <c r="H19" i="1" s="1"/>
  <c r="E17" i="1"/>
  <c r="H17" i="1" s="1"/>
  <c r="E14" i="1"/>
  <c r="H14" i="1" s="1"/>
  <c r="E16" i="1"/>
  <c r="H16" i="1" s="1"/>
  <c r="E13" i="1"/>
  <c r="H13" i="1" s="1"/>
  <c r="E11" i="1"/>
  <c r="H11" i="1" s="1"/>
  <c r="E10" i="1"/>
  <c r="H10" i="1" s="1"/>
  <c r="E7" i="1"/>
  <c r="H7" i="1" s="1"/>
</calcChain>
</file>

<file path=xl/sharedStrings.xml><?xml version="1.0" encoding="utf-8"?>
<sst xmlns="http://schemas.openxmlformats.org/spreadsheetml/2006/main" count="68" uniqueCount="42">
  <si>
    <t>GWP emissions</t>
  </si>
  <si>
    <t>Functional unit</t>
  </si>
  <si>
    <t>1 m^2</t>
  </si>
  <si>
    <t>Conversion factor to 1kg</t>
  </si>
  <si>
    <t>CRH Concrete A/S</t>
  </si>
  <si>
    <t>1 m^3</t>
  </si>
  <si>
    <t>Use type</t>
  </si>
  <si>
    <t>Wall element</t>
  </si>
  <si>
    <t>Leca-block</t>
  </si>
  <si>
    <t>Egernsund Wienerberger A/S</t>
  </si>
  <si>
    <t>Brick</t>
  </si>
  <si>
    <t>Concrete</t>
  </si>
  <si>
    <t>1 tonne</t>
  </si>
  <si>
    <t>GWP 1kg (kg)</t>
  </si>
  <si>
    <t>walls, pillars and partitions</t>
  </si>
  <si>
    <t>Petersminde Teglværk</t>
  </si>
  <si>
    <t>EPD reference</t>
  </si>
  <si>
    <t>1m^2</t>
  </si>
  <si>
    <t>Wood</t>
  </si>
  <si>
    <t>Plank flooring</t>
  </si>
  <si>
    <t>Junckers Industrier A/S</t>
  </si>
  <si>
    <t>Norlund A/S</t>
  </si>
  <si>
    <t>1m^3</t>
  </si>
  <si>
    <t xml:space="preserve">General construction </t>
  </si>
  <si>
    <t>Steel</t>
  </si>
  <si>
    <t>Give Steel A/S</t>
  </si>
  <si>
    <t>Langkjær Staalbyg A/S</t>
  </si>
  <si>
    <t xml:space="preserve">Glass </t>
  </si>
  <si>
    <t>A:gain ApS</t>
  </si>
  <si>
    <t>Window pane</t>
  </si>
  <si>
    <t>DSG Industri A/S</t>
  </si>
  <si>
    <t>Aluminium</t>
  </si>
  <si>
    <t>FIBO A/S</t>
  </si>
  <si>
    <t>1kg</t>
  </si>
  <si>
    <t>Aluminium profile for walls</t>
  </si>
  <si>
    <t>ROLIBA</t>
  </si>
  <si>
    <t>Copper</t>
  </si>
  <si>
    <t>Vestjydsk Beslag A/S</t>
  </si>
  <si>
    <t>Copper bracket</t>
  </si>
  <si>
    <t>Avg</t>
  </si>
  <si>
    <t>GWP avg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</si>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</sst>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2" fontId="2" fillId="0" borderId="0" xfId="0" applyNumberFormat="1" applyFont="1"/>
    <xf numFmtId="165" fontId="2" fillId="0" borderId="0" xfId="0" applyNumberFormat="1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924D-90EE-3A48-84D1-87BAD00B7A0D}">
  <dimension ref="C3:O25"/>
  <sheetViews>
    <sheetView tabSelected="1" workbookViewId="0">
      <selection activeCell="K12" sqref="K12"/>
    </sheetView>
  </sheetViews>
  <sheetFormatPr baseColWidth="10" defaultRowHeight="16" x14ac:dyDescent="0.2"/>
  <cols>
    <col min="3" max="3" width="12.6640625" customWidth="1"/>
    <col min="4" max="4" width="24.1640625" bestFit="1" customWidth="1"/>
    <col min="5" max="5" width="14.33203125" bestFit="1" customWidth="1"/>
    <col min="6" max="6" width="13.5" bestFit="1" customWidth="1"/>
    <col min="7" max="7" width="22" customWidth="1"/>
    <col min="8" max="8" width="12.33203125" bestFit="1" customWidth="1"/>
    <col min="9" max="9" width="23" bestFit="1" customWidth="1"/>
  </cols>
  <sheetData>
    <row r="3" spans="3:15" x14ac:dyDescent="0.2">
      <c r="M3" t="s">
        <v>5</v>
      </c>
      <c r="N3">
        <v>529</v>
      </c>
      <c r="O3">
        <v>1.9E-3</v>
      </c>
    </row>
    <row r="6" spans="3:15" x14ac:dyDescent="0.2">
      <c r="D6" s="1" t="s">
        <v>16</v>
      </c>
      <c r="E6" s="1" t="s">
        <v>0</v>
      </c>
      <c r="F6" s="1" t="s">
        <v>1</v>
      </c>
      <c r="G6" s="1" t="s">
        <v>3</v>
      </c>
      <c r="H6" s="1" t="s">
        <v>13</v>
      </c>
      <c r="I6" s="1" t="s">
        <v>6</v>
      </c>
      <c r="J6" s="1" t="s">
        <v>41</v>
      </c>
      <c r="K6" s="1" t="s">
        <v>40</v>
      </c>
    </row>
    <row r="7" spans="3:15" x14ac:dyDescent="0.2">
      <c r="C7" s="1" t="s">
        <v>11</v>
      </c>
      <c r="D7" t="s">
        <v>4</v>
      </c>
      <c r="E7">
        <f>62.9+3.79</f>
        <v>66.69</v>
      </c>
      <c r="F7" t="s">
        <v>2</v>
      </c>
      <c r="G7">
        <v>2.6700000000000001E-3</v>
      </c>
      <c r="H7">
        <f>E7*G7</f>
        <v>0.17806230000000001</v>
      </c>
      <c r="I7" t="s">
        <v>7</v>
      </c>
      <c r="J7" s="10" t="s">
        <v>11</v>
      </c>
      <c r="K7" s="7">
        <f>H9</f>
        <v>0.20648115</v>
      </c>
    </row>
    <row r="8" spans="3:15" x14ac:dyDescent="0.2">
      <c r="C8" s="2"/>
      <c r="D8" t="s">
        <v>4</v>
      </c>
      <c r="E8">
        <v>174</v>
      </c>
      <c r="F8" t="s">
        <v>5</v>
      </c>
      <c r="G8">
        <v>1.3500000000000001E-3</v>
      </c>
      <c r="H8">
        <f>E8*G8</f>
        <v>0.23490000000000003</v>
      </c>
      <c r="I8" t="s">
        <v>8</v>
      </c>
      <c r="J8" s="10" t="s">
        <v>10</v>
      </c>
      <c r="K8" s="8">
        <f>H12</f>
        <v>0.18973499999999999</v>
      </c>
    </row>
    <row r="9" spans="3:15" x14ac:dyDescent="0.2">
      <c r="C9" s="3" t="s">
        <v>39</v>
      </c>
      <c r="H9" s="4">
        <f>(H7+H8)/2</f>
        <v>0.20648115</v>
      </c>
      <c r="J9" s="10" t="s">
        <v>18</v>
      </c>
      <c r="K9" s="8">
        <f>H13</f>
        <v>5.5150270999999987E-2</v>
      </c>
    </row>
    <row r="10" spans="3:15" x14ac:dyDescent="0.2">
      <c r="C10" s="1" t="s">
        <v>10</v>
      </c>
      <c r="D10" t="s">
        <v>9</v>
      </c>
      <c r="E10">
        <f>2.06*10^2+3.24</f>
        <v>209.24</v>
      </c>
      <c r="F10" t="s">
        <v>12</v>
      </c>
      <c r="G10">
        <v>1E-3</v>
      </c>
      <c r="H10">
        <f>E10*G10</f>
        <v>0.20924000000000001</v>
      </c>
      <c r="I10" t="s">
        <v>14</v>
      </c>
      <c r="J10" s="10" t="s">
        <v>24</v>
      </c>
      <c r="K10" s="8">
        <f>H18</f>
        <v>1.10545</v>
      </c>
    </row>
    <row r="11" spans="3:15" x14ac:dyDescent="0.2">
      <c r="C11" s="2"/>
      <c r="D11" t="s">
        <v>15</v>
      </c>
      <c r="E11">
        <f>1.67*10^2+3.23</f>
        <v>170.23</v>
      </c>
      <c r="F11" t="s">
        <v>12</v>
      </c>
      <c r="G11">
        <v>1E-3</v>
      </c>
      <c r="H11">
        <f>E11*G11</f>
        <v>0.17022999999999999</v>
      </c>
      <c r="I11" t="s">
        <v>14</v>
      </c>
      <c r="J11" s="10" t="s">
        <v>27</v>
      </c>
      <c r="K11" s="8">
        <f>H21</f>
        <v>2.6501999999999999</v>
      </c>
    </row>
    <row r="12" spans="3:15" x14ac:dyDescent="0.2">
      <c r="C12" s="3" t="s">
        <v>39</v>
      </c>
      <c r="H12" s="5">
        <f>AVERAGE(H10,H11)</f>
        <v>0.18973499999999999</v>
      </c>
      <c r="J12" s="10" t="s">
        <v>31</v>
      </c>
      <c r="K12" s="9">
        <f>H24</f>
        <v>10.000500000000001</v>
      </c>
    </row>
    <row r="13" spans="3:15" x14ac:dyDescent="0.2">
      <c r="C13" s="1" t="s">
        <v>18</v>
      </c>
      <c r="D13" t="s">
        <v>20</v>
      </c>
      <c r="E13">
        <f>-3.9 + 0.639 + 3.65 + 0.0539 + 0.478 + 0.638 + 1.21 + 0.0538 + -4.38 + 0.000443 + 2.44 + 0.000043 + 0.0057 + 0.000277 + 0.000336 + 0.0000215</f>
        <v>0.88952049999999983</v>
      </c>
      <c r="F13" t="s">
        <v>17</v>
      </c>
      <c r="G13">
        <v>6.2E-2</v>
      </c>
      <c r="H13" s="7">
        <f>E13*G13</f>
        <v>5.5150270999999987E-2</v>
      </c>
      <c r="I13" t="s">
        <v>19</v>
      </c>
      <c r="J13" s="10" t="s">
        <v>36</v>
      </c>
      <c r="K13">
        <f>H25</f>
        <v>7.3179999999999996</v>
      </c>
    </row>
    <row r="14" spans="3:15" x14ac:dyDescent="0.2">
      <c r="C14" s="2"/>
      <c r="D14" t="s">
        <v>21</v>
      </c>
      <c r="E14">
        <f>-707 + 4.67</f>
        <v>-702.33</v>
      </c>
      <c r="F14" t="s">
        <v>22</v>
      </c>
      <c r="G14">
        <v>1.7000000000000001E-2</v>
      </c>
      <c r="H14">
        <f>E14*G14</f>
        <v>-11.939610000000002</v>
      </c>
      <c r="I14" t="s">
        <v>23</v>
      </c>
    </row>
    <row r="15" spans="3:15" x14ac:dyDescent="0.2">
      <c r="C15" s="3" t="s">
        <v>39</v>
      </c>
      <c r="H15" s="5">
        <f>AVERAGE(H13,H14)</f>
        <v>-5.9422298645000007</v>
      </c>
    </row>
    <row r="16" spans="3:15" x14ac:dyDescent="0.2">
      <c r="C16" s="1" t="s">
        <v>24</v>
      </c>
      <c r="D16" t="s">
        <v>25</v>
      </c>
      <c r="E16">
        <f>522 + 43.9</f>
        <v>565.9</v>
      </c>
      <c r="F16" t="s">
        <v>12</v>
      </c>
      <c r="G16">
        <v>1E-3</v>
      </c>
      <c r="H16">
        <f>E16*G16</f>
        <v>0.56589999999999996</v>
      </c>
      <c r="I16" t="s">
        <v>23</v>
      </c>
    </row>
    <row r="17" spans="3:9" x14ac:dyDescent="0.2">
      <c r="C17" s="2"/>
      <c r="D17" t="s">
        <v>26</v>
      </c>
      <c r="E17">
        <f>1.35*10^3+2.95*10^2</f>
        <v>1645</v>
      </c>
      <c r="F17" t="s">
        <v>12</v>
      </c>
      <c r="G17">
        <v>1E-3</v>
      </c>
      <c r="H17">
        <f>E17*G17</f>
        <v>1.645</v>
      </c>
      <c r="I17" t="s">
        <v>23</v>
      </c>
    </row>
    <row r="18" spans="3:9" x14ac:dyDescent="0.2">
      <c r="C18" s="3" t="s">
        <v>39</v>
      </c>
      <c r="H18" s="5">
        <f>AVERAGE(H16,H17)</f>
        <v>1.10545</v>
      </c>
    </row>
    <row r="19" spans="3:9" x14ac:dyDescent="0.2">
      <c r="C19" s="1" t="s">
        <v>27</v>
      </c>
      <c r="D19" t="s">
        <v>28</v>
      </c>
      <c r="E19">
        <f>23.1 + 4.47 + 54.6</f>
        <v>82.17</v>
      </c>
      <c r="F19" t="s">
        <v>2</v>
      </c>
      <c r="G19">
        <v>2.4E-2</v>
      </c>
      <c r="H19">
        <f>E19*G19</f>
        <v>1.9720800000000001</v>
      </c>
      <c r="I19" t="s">
        <v>29</v>
      </c>
    </row>
    <row r="20" spans="3:9" x14ac:dyDescent="0.2">
      <c r="C20" s="2"/>
      <c r="D20" t="s">
        <v>30</v>
      </c>
      <c r="E20">
        <f>28.5+1.54+13.1+26.2</f>
        <v>69.34</v>
      </c>
      <c r="F20" t="s">
        <v>2</v>
      </c>
      <c r="G20">
        <v>4.8000000000000001E-2</v>
      </c>
      <c r="H20">
        <f t="shared" ref="H20:H25" si="0">E20*G20</f>
        <v>3.3283200000000002</v>
      </c>
      <c r="I20" t="s">
        <v>29</v>
      </c>
    </row>
    <row r="21" spans="3:9" x14ac:dyDescent="0.2">
      <c r="C21" s="3" t="s">
        <v>39</v>
      </c>
      <c r="H21" s="5">
        <f>AVERAGE(H19,H20)</f>
        <v>2.6501999999999999</v>
      </c>
    </row>
    <row r="22" spans="3:9" x14ac:dyDescent="0.2">
      <c r="C22" s="1" t="s">
        <v>31</v>
      </c>
      <c r="D22" t="s">
        <v>32</v>
      </c>
      <c r="E22">
        <f>14.1 + 0.031</f>
        <v>14.131</v>
      </c>
      <c r="F22" t="s">
        <v>33</v>
      </c>
      <c r="G22">
        <v>1</v>
      </c>
      <c r="H22">
        <f t="shared" si="0"/>
        <v>14.131</v>
      </c>
      <c r="I22" t="s">
        <v>34</v>
      </c>
    </row>
    <row r="23" spans="3:9" x14ac:dyDescent="0.2">
      <c r="D23" t="s">
        <v>35</v>
      </c>
      <c r="E23">
        <v>5.87</v>
      </c>
      <c r="F23" t="s">
        <v>33</v>
      </c>
      <c r="G23">
        <v>1</v>
      </c>
      <c r="H23">
        <f t="shared" si="0"/>
        <v>5.87</v>
      </c>
      <c r="I23" t="s">
        <v>34</v>
      </c>
    </row>
    <row r="24" spans="3:9" x14ac:dyDescent="0.2">
      <c r="C24" s="3" t="s">
        <v>39</v>
      </c>
      <c r="H24" s="6">
        <f>AVERAGE(H22,H23)</f>
        <v>10.000500000000001</v>
      </c>
    </row>
    <row r="25" spans="3:9" x14ac:dyDescent="0.2">
      <c r="C25" s="1" t="s">
        <v>36</v>
      </c>
      <c r="D25" t="s">
        <v>37</v>
      </c>
      <c r="E25">
        <f>7.11+ 0.0215+ 0.138+ 0.0485</f>
        <v>7.3179999999999996</v>
      </c>
      <c r="F25" t="s">
        <v>33</v>
      </c>
      <c r="G25">
        <v>1</v>
      </c>
      <c r="H25">
        <f t="shared" si="0"/>
        <v>7.3179999999999996</v>
      </c>
      <c r="I2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Nygård Eik</dc:creator>
  <cp:lastModifiedBy>Emil Nygård Eik</cp:lastModifiedBy>
  <dcterms:created xsi:type="dcterms:W3CDTF">2026-03-26T10:42:53Z</dcterms:created>
  <dcterms:modified xsi:type="dcterms:W3CDTF">2026-04-07T09:57:48Z</dcterms:modified>
</cp:coreProperties>
</file>