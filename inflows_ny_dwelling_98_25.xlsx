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codeName="ThisWorkbook"/>
  <mc:AlternateContent xmlns:mc="http://schemas.openxmlformats.org/markup-compatibility/2006">
    <mc:Choice Requires="x15">
      <x15ac:absPath xmlns:x15ac="http://schemas.microsoft.com/office/spreadsheetml/2010/11/ac" url="/Users/emilnygaardeik/Documents/Industrial_Ecology/V_2026/MFA2/Project/TEP4290-project/"/>
    </mc:Choice>
  </mc:AlternateContent>
  <xr:revisionPtr revIDLastSave="0" documentId="13_ncr:1_{E6E5AB4F-F037-EC4B-B072-CB563BC5794F}" xr6:coauthVersionLast="47" xr6:coauthVersionMax="47" xr10:uidLastSave="{00000000-0000-0000-0000-000000000000}"/>
  <bookViews>
    <workbookView xWindow="0" yWindow="500" windowWidth="28800" windowHeight="15980" xr2:uid="{00000000-000D-0000-FFFF-FFFF00000000}"/>
  </bookViews>
  <sheets>
    <sheet name="BYGV02" sheetId="2"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5" i="2" l="1"/>
  <c r="D16" i="2"/>
  <c r="D17" i="2"/>
  <c r="D14" i="2"/>
  <c r="F10" i="2"/>
  <c r="G10" i="2"/>
  <c r="H10" i="2"/>
  <c r="I10" i="2"/>
  <c r="J10" i="2"/>
  <c r="K10" i="2"/>
  <c r="L10" i="2"/>
  <c r="M10" i="2"/>
  <c r="N10" i="2"/>
  <c r="O10" i="2"/>
  <c r="P10" i="2"/>
  <c r="Q10" i="2"/>
  <c r="R10" i="2"/>
  <c r="S10" i="2"/>
  <c r="T10" i="2"/>
  <c r="U10" i="2"/>
  <c r="V10" i="2"/>
  <c r="W10" i="2"/>
  <c r="X10" i="2"/>
  <c r="Y10" i="2"/>
  <c r="Z10" i="2"/>
  <c r="AA10" i="2"/>
  <c r="AB10" i="2"/>
  <c r="AC10" i="2"/>
  <c r="AD10" i="2"/>
  <c r="AE10" i="2"/>
  <c r="F11" i="2"/>
  <c r="G11" i="2"/>
  <c r="H11" i="2"/>
  <c r="I11" i="2"/>
  <c r="J11" i="2"/>
  <c r="K11" i="2"/>
  <c r="L11" i="2"/>
  <c r="M11" i="2"/>
  <c r="N11" i="2"/>
  <c r="O11" i="2"/>
  <c r="P11" i="2"/>
  <c r="Q11" i="2"/>
  <c r="R11" i="2"/>
  <c r="S11" i="2"/>
  <c r="T11" i="2"/>
  <c r="U11" i="2"/>
  <c r="V11" i="2"/>
  <c r="W11" i="2"/>
  <c r="X11" i="2"/>
  <c r="Y11" i="2"/>
  <c r="Z11" i="2"/>
  <c r="AA11" i="2"/>
  <c r="AB11" i="2"/>
  <c r="AC11" i="2"/>
  <c r="AD11" i="2"/>
  <c r="AE11" i="2"/>
  <c r="F12" i="2"/>
  <c r="G12" i="2"/>
  <c r="H12" i="2"/>
  <c r="I12" i="2"/>
  <c r="J12" i="2"/>
  <c r="K12" i="2"/>
  <c r="L12" i="2"/>
  <c r="M12" i="2"/>
  <c r="N12" i="2"/>
  <c r="O12" i="2"/>
  <c r="P12" i="2"/>
  <c r="Q12" i="2"/>
  <c r="R12" i="2"/>
  <c r="S12" i="2"/>
  <c r="T12" i="2"/>
  <c r="U12" i="2"/>
  <c r="V12" i="2"/>
  <c r="W12" i="2"/>
  <c r="X12" i="2"/>
  <c r="Y12" i="2"/>
  <c r="Z12" i="2"/>
  <c r="AA12" i="2"/>
  <c r="AB12" i="2"/>
  <c r="AC12" i="2"/>
  <c r="AD12" i="2"/>
  <c r="AE12" i="2"/>
  <c r="E10" i="2"/>
  <c r="E11" i="2"/>
  <c r="E12" i="2"/>
  <c r="D10" i="2"/>
  <c r="D11" i="2"/>
  <c r="D12" i="2"/>
  <c r="D9" i="2"/>
  <c r="AC9" i="2"/>
  <c r="AD9" i="2"/>
  <c r="AE9" i="2"/>
  <c r="X9" i="2"/>
  <c r="Y9" i="2"/>
  <c r="Z9" i="2"/>
  <c r="AA9" i="2"/>
  <c r="AB9" i="2"/>
  <c r="H9" i="2"/>
  <c r="I9" i="2"/>
  <c r="J9" i="2"/>
  <c r="K9" i="2"/>
  <c r="L9" i="2"/>
  <c r="M9" i="2"/>
  <c r="N9" i="2"/>
  <c r="O9" i="2"/>
  <c r="P9" i="2"/>
  <c r="Q9" i="2"/>
  <c r="R9" i="2"/>
  <c r="S9" i="2"/>
  <c r="T9" i="2"/>
  <c r="U9" i="2"/>
  <c r="V9" i="2"/>
  <c r="W9" i="2"/>
  <c r="E9" i="2"/>
  <c r="F9" i="2"/>
  <c r="G9" i="2"/>
  <c r="E8" i="2"/>
  <c r="F8" i="2"/>
  <c r="G8" i="2"/>
  <c r="H8" i="2"/>
  <c r="I8" i="2"/>
  <c r="J8" i="2"/>
  <c r="K8" i="2"/>
  <c r="L8" i="2"/>
  <c r="M8" i="2"/>
  <c r="N8" i="2"/>
  <c r="O8" i="2"/>
  <c r="P8" i="2"/>
  <c r="Q8" i="2"/>
  <c r="R8" i="2"/>
  <c r="S8" i="2"/>
  <c r="T8" i="2"/>
  <c r="U8" i="2"/>
  <c r="V8" i="2"/>
  <c r="W8" i="2"/>
  <c r="X8" i="2"/>
  <c r="Y8" i="2"/>
  <c r="Z8" i="2"/>
  <c r="AA8" i="2"/>
  <c r="AB8" i="2"/>
  <c r="AC8" i="2"/>
  <c r="AD8" i="2"/>
  <c r="AE8" i="2"/>
  <c r="D8" i="2"/>
</calcChain>
</file>

<file path=xl/sharedStrings.xml><?xml version="1.0" encoding="utf-8"?>
<sst xmlns="http://schemas.openxmlformats.org/spreadsheetml/2006/main" count="46" uniqueCount="46">
  <si>
    <t>Landstal for fuldført byggeri (ikke korrigeret for forsinkelser) efter byggesagstype, enhed, anvendelse og tid</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</si>
  <si>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</si>
  <si>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</si>
  <si>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</si>
  <si>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</si>
  <si>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</si>
  <si>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</si>
  <si>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</si>
  <si>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</si>
  <si>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</si>
  <si>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</si>
  <si>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</si>
  <si>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</si>
  <si>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</si>
  <si>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</si>
  <si>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</si>
  <si>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</si>
  <si>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</si>
  <si>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</si>
  <si>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</si>
  <si>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</si>
  <si>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</si>
  <si>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</si>
  <si>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</si>
  <si>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</si>
  <si>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</si>
  <si>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</si>
  <si>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</si>
  <si>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</si>
  <si>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Nybyggeri</t>
  </si>
  <si>
    <t>Boliger (antal)</t>
  </si>
  <si>
    <t>Stuehuse til landbrugsejendomme</t>
  </si>
  <si>
    <t>Parcelhuse</t>
  </si>
  <si>
    <t>Række-, kæde- og dobbelthuse</t>
  </si>
  <si>
    <t>Etageboliger</t>
  </si>
  <si>
    <t xml:space="preserve">Overgangen til den nye version af BBR (ny struktur og nye metoder) i juni 2017 betød i forbindelse med offentliggørelsen af 4. kvartal 2017 og 1. kvartal 2018 store revisioner af alle byggestatistikkens tidsserier. For opgørelserne af tilladt og især påbegyndt byggeri er der dog stadig en betydelig usikkerhed om tallene for det seneste, løbende 1½ år. Det forventes, at der senere vil komme væsentlige opjusteringer af disse tal, når data er blevet registeret i BBR. </t>
  </si>
  <si>
    <t>Enhed: antall bygninger</t>
  </si>
  <si>
    <t>Ratio Parcelhus</t>
  </si>
  <si>
    <t>Ratio Rekke</t>
  </si>
  <si>
    <t>Ratio Etage</t>
  </si>
  <si>
    <t>Mean ratio Parcel</t>
  </si>
  <si>
    <t>Mean ratio Rekke</t>
  </si>
  <si>
    <t>Mean ratio Etage</t>
  </si>
  <si>
    <t>Mean ratio Stuehus</t>
  </si>
  <si>
    <t>Ratio Stuehus</t>
  </si>
  <si>
    <t>Sum Boliger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</si>
</sst>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rgb="FF000000"/>
      <name val="Calibri"/>
      <family val="2"/>
    </font>
    <font>
      <b/>
      <sz val="13"/>
      <color rgb="FF000000"/>
      <name val="Calibri"/>
      <family val="2"/>
    </font>
    <font>
      <i/>
      <sz val="11"/>
      <color rgb="FF000000"/>
      <name val="Calibri"/>
      <family val="2"/>
    </font>
    <font>
      <b/>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applyNumberFormat="0" applyBorder="0" applyAlignment="0"/>
  </cellStyleXfs>
  <cellXfs count="7">
    <xf numFmtId="0" fontId="0" fillId="0" borderId="0" xfId="0"/>
    <xf numFmtId="0" fontId="1" fillId="0" borderId="0" xfId="0" applyFont="1"/>
    <xf numFmtId="0" fontId="2" fillId="0" borderId="0" xfId="0" applyFont="1"/>
    <xf numFmtId="0" fontId="3" fillId="0" borderId="0" xfId="0" applyFont="1" applyAlignment="1">
      <alignment horizontal="left"/>
    </xf>
    <xf numFmtId="0" fontId="0" fillId="0" borderId="0" xfId="0" applyAlignment="1">
      <alignment horizontal="right"/>
    </xf>
    <xf numFmtId="0" fontId="2" fillId="0" borderId="0" xfId="0" applyFont="1" applyAlignment="1">
      <alignment wrapText="1"/>
    </xf>
    <xf numFmtId="0" fontId="3"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28"/>
  <sheetViews>
    <sheetView tabSelected="1" topLeftCell="B1" workbookViewId="0">
      <selection activeCell="F16" sqref="F16"/>
    </sheetView>
  </sheetViews>
  <sheetFormatPr baseColWidth="10" defaultColWidth="8.83203125" defaultRowHeight="15" x14ac:dyDescent="0.2"/>
  <cols>
    <col min="1" max="1" width="40.6640625" customWidth="1"/>
    <col min="2" max="2" width="15.5" customWidth="1"/>
    <col min="3" max="3" width="33.5" customWidth="1"/>
    <col min="4" max="31" width="7" customWidth="1"/>
  </cols>
  <sheetData>
    <row r="1" spans="1:31" ht="17" x14ac:dyDescent="0.2">
      <c r="A1" s="1" t="s">
        <v>0</v>
      </c>
    </row>
    <row r="2" spans="1:31" x14ac:dyDescent="0.2">
      <c r="A2" s="2" t="s">
        <v>36</v>
      </c>
    </row>
    <row r="3" spans="1:31" x14ac:dyDescent="0.2">
      <c r="D3" s="3" t="s">
        <v>1</v>
      </c>
      <c r="E3" s="3" t="s">
        <v>2</v>
      </c>
      <c r="F3" s="3" t="s">
        <v>3</v>
      </c>
      <c r="G3" s="3" t="s">
        <v>4</v>
      </c>
      <c r="H3" s="3" t="s">
        <v>5</v>
      </c>
      <c r="I3" s="3" t="s">
        <v>6</v>
      </c>
      <c r="J3" s="3" t="s">
        <v>7</v>
      </c>
      <c r="K3" s="3" t="s">
        <v>8</v>
      </c>
      <c r="L3" s="3" t="s">
        <v>9</v>
      </c>
      <c r="M3" s="3" t="s">
        <v>10</v>
      </c>
      <c r="N3" s="3" t="s">
        <v>11</v>
      </c>
      <c r="O3" s="3" t="s">
        <v>12</v>
      </c>
      <c r="P3" s="3" t="s">
        <v>13</v>
      </c>
      <c r="Q3" s="3" t="s">
        <v>14</v>
      </c>
      <c r="R3" s="3" t="s">
        <v>15</v>
      </c>
      <c r="S3" s="3" t="s">
        <v>16</v>
      </c>
      <c r="T3" s="3" t="s">
        <v>17</v>
      </c>
      <c r="U3" s="3" t="s">
        <v>18</v>
      </c>
      <c r="V3" s="3" t="s">
        <v>19</v>
      </c>
      <c r="W3" s="3" t="s">
        <v>20</v>
      </c>
      <c r="X3" s="3" t="s">
        <v>21</v>
      </c>
      <c r="Y3" s="3" t="s">
        <v>22</v>
      </c>
      <c r="Z3" s="3" t="s">
        <v>23</v>
      </c>
      <c r="AA3" s="3" t="s">
        <v>24</v>
      </c>
      <c r="AB3" s="3" t="s">
        <v>25</v>
      </c>
      <c r="AC3" s="3" t="s">
        <v>26</v>
      </c>
      <c r="AD3" s="3" t="s">
        <v>27</v>
      </c>
      <c r="AE3" s="3" t="s">
        <v>28</v>
      </c>
    </row>
    <row r="4" spans="1:31" x14ac:dyDescent="0.2">
      <c r="A4" s="3" t="s">
        <v>29</v>
      </c>
      <c r="B4" s="3" t="s">
        <v>30</v>
      </c>
      <c r="C4" s="3" t="s">
        <v>31</v>
      </c>
      <c r="D4" s="4">
        <v>233</v>
      </c>
      <c r="E4" s="4">
        <v>235</v>
      </c>
      <c r="F4" s="4">
        <v>229</v>
      </c>
      <c r="G4" s="4">
        <v>237</v>
      </c>
      <c r="H4" s="4">
        <v>221</v>
      </c>
      <c r="I4" s="4">
        <v>294</v>
      </c>
      <c r="J4" s="4">
        <v>321</v>
      </c>
      <c r="K4" s="4">
        <v>276</v>
      </c>
      <c r="L4" s="4">
        <v>320</v>
      </c>
      <c r="M4" s="4">
        <v>395</v>
      </c>
      <c r="N4" s="4">
        <v>438</v>
      </c>
      <c r="O4" s="4">
        <v>492</v>
      </c>
      <c r="P4" s="4">
        <v>376</v>
      </c>
      <c r="Q4" s="4">
        <v>305</v>
      </c>
      <c r="R4" s="4">
        <v>285</v>
      </c>
      <c r="S4" s="4">
        <v>268</v>
      </c>
      <c r="T4" s="4">
        <v>238</v>
      </c>
      <c r="U4" s="4">
        <v>317</v>
      </c>
      <c r="V4" s="4">
        <v>267</v>
      </c>
      <c r="W4" s="4">
        <v>230</v>
      </c>
      <c r="X4" s="4">
        <v>206</v>
      </c>
      <c r="Y4" s="4">
        <v>177</v>
      </c>
      <c r="Z4" s="4">
        <v>190</v>
      </c>
      <c r="AA4" s="4">
        <v>203</v>
      </c>
      <c r="AB4" s="4">
        <v>246</v>
      </c>
      <c r="AC4" s="4">
        <v>214</v>
      </c>
      <c r="AD4" s="4">
        <v>172</v>
      </c>
      <c r="AE4" s="4">
        <v>181</v>
      </c>
    </row>
    <row r="5" spans="1:31" x14ac:dyDescent="0.2">
      <c r="C5" s="3" t="s">
        <v>32</v>
      </c>
      <c r="D5" s="4">
        <v>6349</v>
      </c>
      <c r="E5" s="4">
        <v>6062</v>
      </c>
      <c r="F5" s="4">
        <v>4896</v>
      </c>
      <c r="G5" s="4">
        <v>4728</v>
      </c>
      <c r="H5" s="4">
        <v>4449</v>
      </c>
      <c r="I5" s="4">
        <v>5117</v>
      </c>
      <c r="J5" s="4">
        <v>5809</v>
      </c>
      <c r="K5" s="4">
        <v>7036</v>
      </c>
      <c r="L5" s="4">
        <v>8392</v>
      </c>
      <c r="M5" s="4">
        <v>9191</v>
      </c>
      <c r="N5" s="4">
        <v>8806</v>
      </c>
      <c r="O5" s="4">
        <v>6018</v>
      </c>
      <c r="P5" s="4">
        <v>4041</v>
      </c>
      <c r="Q5" s="4">
        <v>4465</v>
      </c>
      <c r="R5" s="4">
        <v>3806</v>
      </c>
      <c r="S5" s="4">
        <v>3603</v>
      </c>
      <c r="T5" s="4">
        <v>3817</v>
      </c>
      <c r="U5" s="4">
        <v>3868</v>
      </c>
      <c r="V5" s="4">
        <v>4658</v>
      </c>
      <c r="W5" s="4">
        <v>5083</v>
      </c>
      <c r="X5" s="4">
        <v>5040</v>
      </c>
      <c r="Y5" s="4">
        <v>5388</v>
      </c>
      <c r="Z5" s="4">
        <v>5840</v>
      </c>
      <c r="AA5" s="4">
        <v>6093</v>
      </c>
      <c r="AB5" s="4">
        <v>7213</v>
      </c>
      <c r="AC5" s="4">
        <v>5154</v>
      </c>
      <c r="AD5" s="4">
        <v>3200</v>
      </c>
      <c r="AE5" s="4">
        <v>3589</v>
      </c>
    </row>
    <row r="6" spans="1:31" x14ac:dyDescent="0.2">
      <c r="C6" s="3" t="s">
        <v>33</v>
      </c>
      <c r="D6" s="4">
        <v>3103</v>
      </c>
      <c r="E6" s="4">
        <v>3620</v>
      </c>
      <c r="F6" s="4">
        <v>3553</v>
      </c>
      <c r="G6" s="4">
        <v>4167</v>
      </c>
      <c r="H6" s="4">
        <v>4799</v>
      </c>
      <c r="I6" s="4">
        <v>7190</v>
      </c>
      <c r="J6" s="4">
        <v>7178</v>
      </c>
      <c r="K6" s="4">
        <v>6523</v>
      </c>
      <c r="L6" s="4">
        <v>6375</v>
      </c>
      <c r="M6" s="4">
        <v>6843</v>
      </c>
      <c r="N6" s="4">
        <v>6399</v>
      </c>
      <c r="O6" s="4">
        <v>3450</v>
      </c>
      <c r="P6" s="4">
        <v>1266</v>
      </c>
      <c r="Q6" s="4">
        <v>2131</v>
      </c>
      <c r="R6" s="4">
        <v>2575</v>
      </c>
      <c r="S6" s="4">
        <v>2400</v>
      </c>
      <c r="T6" s="4">
        <v>2626</v>
      </c>
      <c r="U6" s="4">
        <v>2816</v>
      </c>
      <c r="V6" s="4">
        <v>3105</v>
      </c>
      <c r="W6" s="4">
        <v>3901</v>
      </c>
      <c r="X6" s="4">
        <v>4728</v>
      </c>
      <c r="Y6" s="4">
        <v>5639</v>
      </c>
      <c r="Z6" s="4">
        <v>6381</v>
      </c>
      <c r="AA6" s="4">
        <v>7225</v>
      </c>
      <c r="AB6" s="4">
        <v>7779</v>
      </c>
      <c r="AC6" s="4">
        <v>7997</v>
      </c>
      <c r="AD6" s="4">
        <v>6478</v>
      </c>
      <c r="AE6" s="4">
        <v>5892</v>
      </c>
    </row>
    <row r="7" spans="1:31" x14ac:dyDescent="0.2">
      <c r="C7" s="3" t="s">
        <v>34</v>
      </c>
      <c r="D7" s="4">
        <v>4134</v>
      </c>
      <c r="E7" s="4">
        <v>2678</v>
      </c>
      <c r="F7" s="4">
        <v>3568</v>
      </c>
      <c r="G7" s="4">
        <v>3786</v>
      </c>
      <c r="H7" s="4">
        <v>4672</v>
      </c>
      <c r="I7" s="4">
        <v>5845</v>
      </c>
      <c r="J7" s="4">
        <v>7184</v>
      </c>
      <c r="K7" s="4">
        <v>7418</v>
      </c>
      <c r="L7" s="4">
        <v>7941</v>
      </c>
      <c r="M7" s="4">
        <v>10214</v>
      </c>
      <c r="N7" s="4">
        <v>6249</v>
      </c>
      <c r="O7" s="4">
        <v>4696</v>
      </c>
      <c r="P7" s="4">
        <v>2307</v>
      </c>
      <c r="Q7" s="4">
        <v>2595</v>
      </c>
      <c r="R7" s="4">
        <v>5056</v>
      </c>
      <c r="S7" s="4">
        <v>5074</v>
      </c>
      <c r="T7" s="4">
        <v>4692</v>
      </c>
      <c r="U7" s="4">
        <v>3855</v>
      </c>
      <c r="V7" s="4">
        <v>6971</v>
      </c>
      <c r="W7" s="4">
        <v>10014</v>
      </c>
      <c r="X7" s="4">
        <v>12270</v>
      </c>
      <c r="Y7" s="4">
        <v>16019</v>
      </c>
      <c r="Z7" s="4">
        <v>18816</v>
      </c>
      <c r="AA7" s="4">
        <v>15499</v>
      </c>
      <c r="AB7" s="4">
        <v>17912</v>
      </c>
      <c r="AC7" s="4">
        <v>18227</v>
      </c>
      <c r="AD7" s="4">
        <v>13225</v>
      </c>
      <c r="AE7" s="4">
        <v>11448</v>
      </c>
    </row>
    <row r="8" spans="1:31" x14ac:dyDescent="0.2">
      <c r="C8" s="3" t="s">
        <v>45</v>
      </c>
      <c r="D8">
        <f>SUM(D4:D7)</f>
        <v>13819</v>
      </c>
      <c r="E8">
        <f t="shared" ref="E8:AE8" si="0">SUM(E4:E7)</f>
        <v>12595</v>
      </c>
      <c r="F8">
        <f t="shared" si="0"/>
        <v>12246</v>
      </c>
      <c r="G8">
        <f t="shared" si="0"/>
        <v>12918</v>
      </c>
      <c r="H8">
        <f t="shared" si="0"/>
        <v>14141</v>
      </c>
      <c r="I8">
        <f t="shared" si="0"/>
        <v>18446</v>
      </c>
      <c r="J8">
        <f t="shared" si="0"/>
        <v>20492</v>
      </c>
      <c r="K8">
        <f t="shared" si="0"/>
        <v>21253</v>
      </c>
      <c r="L8">
        <f t="shared" si="0"/>
        <v>23028</v>
      </c>
      <c r="M8">
        <f t="shared" si="0"/>
        <v>26643</v>
      </c>
      <c r="N8">
        <f t="shared" si="0"/>
        <v>21892</v>
      </c>
      <c r="O8">
        <f t="shared" si="0"/>
        <v>14656</v>
      </c>
      <c r="P8">
        <f t="shared" si="0"/>
        <v>7990</v>
      </c>
      <c r="Q8">
        <f t="shared" si="0"/>
        <v>9496</v>
      </c>
      <c r="R8">
        <f t="shared" si="0"/>
        <v>11722</v>
      </c>
      <c r="S8">
        <f t="shared" si="0"/>
        <v>11345</v>
      </c>
      <c r="T8">
        <f t="shared" si="0"/>
        <v>11373</v>
      </c>
      <c r="U8">
        <f t="shared" si="0"/>
        <v>10856</v>
      </c>
      <c r="V8">
        <f t="shared" si="0"/>
        <v>15001</v>
      </c>
      <c r="W8">
        <f t="shared" si="0"/>
        <v>19228</v>
      </c>
      <c r="X8">
        <f t="shared" si="0"/>
        <v>22244</v>
      </c>
      <c r="Y8">
        <f t="shared" si="0"/>
        <v>27223</v>
      </c>
      <c r="Z8">
        <f t="shared" si="0"/>
        <v>31227</v>
      </c>
      <c r="AA8">
        <f t="shared" si="0"/>
        <v>29020</v>
      </c>
      <c r="AB8">
        <f t="shared" si="0"/>
        <v>33150</v>
      </c>
      <c r="AC8">
        <f t="shared" si="0"/>
        <v>31592</v>
      </c>
      <c r="AD8">
        <f t="shared" si="0"/>
        <v>23075</v>
      </c>
      <c r="AE8">
        <f t="shared" si="0"/>
        <v>21110</v>
      </c>
    </row>
    <row r="9" spans="1:31" x14ac:dyDescent="0.2">
      <c r="C9" s="3" t="s">
        <v>44</v>
      </c>
      <c r="D9">
        <f>D4/$D$8</f>
        <v>1.6860843765829654E-2</v>
      </c>
      <c r="E9">
        <f t="shared" ref="E9:H9" si="1">E4/E8</f>
        <v>1.8658197697499008E-2</v>
      </c>
      <c r="F9">
        <f t="shared" si="1"/>
        <v>1.8699983668136536E-2</v>
      </c>
      <c r="G9">
        <f t="shared" si="1"/>
        <v>1.8346493265211334E-2</v>
      </c>
      <c r="H9">
        <f t="shared" si="1"/>
        <v>1.5628314829219999E-2</v>
      </c>
      <c r="I9">
        <f t="shared" ref="I9" si="2">I4/I8</f>
        <v>1.5938414832484007E-2</v>
      </c>
      <c r="J9">
        <f t="shared" ref="J9" si="3">J4/J8</f>
        <v>1.5664649619363653E-2</v>
      </c>
      <c r="K9">
        <f t="shared" ref="K9:L9" si="4">K4/K8</f>
        <v>1.2986401919728979E-2</v>
      </c>
      <c r="L9">
        <f t="shared" si="4"/>
        <v>1.3896126454750739E-2</v>
      </c>
      <c r="M9">
        <f t="shared" ref="M9" si="5">M4/M8</f>
        <v>1.4825657771272004E-2</v>
      </c>
      <c r="N9">
        <f t="shared" ref="N9" si="6">N4/N8</f>
        <v>2.0007308605883428E-2</v>
      </c>
      <c r="O9">
        <f t="shared" ref="O9:P9" si="7">O4/O8</f>
        <v>3.356986899563319E-2</v>
      </c>
      <c r="P9">
        <f t="shared" si="7"/>
        <v>4.7058823529411764E-2</v>
      </c>
      <c r="Q9">
        <f t="shared" ref="Q9" si="8">Q4/Q8</f>
        <v>3.211878685762426E-2</v>
      </c>
      <c r="R9">
        <f t="shared" ref="R9" si="9">R4/R8</f>
        <v>2.4313257123357787E-2</v>
      </c>
      <c r="S9">
        <f t="shared" ref="S9:T9" si="10">S4/S8</f>
        <v>2.3622741295724989E-2</v>
      </c>
      <c r="T9">
        <f t="shared" si="10"/>
        <v>2.0926756352765322E-2</v>
      </c>
      <c r="U9">
        <f t="shared" ref="U9" si="11">U4/U8</f>
        <v>2.9200442151805454E-2</v>
      </c>
      <c r="V9">
        <f t="shared" ref="V9" si="12">V4/V8</f>
        <v>1.779881341243917E-2</v>
      </c>
      <c r="W9">
        <f t="shared" ref="W9" si="13">W4/W8</f>
        <v>1.1961722488038277E-2</v>
      </c>
      <c r="X9">
        <f>X4/X8</f>
        <v>9.2609242941916921E-3</v>
      </c>
      <c r="Y9">
        <f t="shared" ref="Y9" si="14">Y4/Y8</f>
        <v>6.5018550490394149E-3</v>
      </c>
      <c r="Z9">
        <f t="shared" ref="Z9" si="15">Z4/Z8</f>
        <v>6.0844781759374902E-3</v>
      </c>
      <c r="AA9">
        <f t="shared" ref="AA9" si="16">AA4/AA8</f>
        <v>6.9951757408683668E-3</v>
      </c>
      <c r="AB9">
        <f t="shared" ref="AB9" si="17">AB4/AB8</f>
        <v>7.4208144796380094E-3</v>
      </c>
      <c r="AC9">
        <f t="shared" ref="AC9" si="18">AC4/AC8</f>
        <v>6.7738668017219552E-3</v>
      </c>
      <c r="AD9">
        <f t="shared" ref="AD9" si="19">AD4/AD8</f>
        <v>7.453954496208017E-3</v>
      </c>
      <c r="AE9">
        <f t="shared" ref="AE9" si="20">AE4/AE8</f>
        <v>8.5741354808147804E-3</v>
      </c>
    </row>
    <row r="10" spans="1:31" x14ac:dyDescent="0.2">
      <c r="C10" s="3" t="s">
        <v>37</v>
      </c>
      <c r="D10">
        <f t="shared" ref="D10:E12" si="21">D5/$D$8</f>
        <v>0.4594399015847746</v>
      </c>
      <c r="E10">
        <f t="shared" si="21"/>
        <v>0.43867139445690717</v>
      </c>
      <c r="F10">
        <f t="shared" ref="F10:AE10" si="22">F5/$D$8</f>
        <v>0.35429481149142483</v>
      </c>
      <c r="G10">
        <f t="shared" si="22"/>
        <v>0.34213763658730734</v>
      </c>
      <c r="H10">
        <f t="shared" si="22"/>
        <v>0.32194804255011217</v>
      </c>
      <c r="I10">
        <f t="shared" si="22"/>
        <v>0.37028728562124613</v>
      </c>
      <c r="J10">
        <f t="shared" si="22"/>
        <v>0.42036326796439683</v>
      </c>
      <c r="K10">
        <f t="shared" si="22"/>
        <v>0.50915406324625512</v>
      </c>
      <c r="L10">
        <f t="shared" si="22"/>
        <v>0.60727983211520375</v>
      </c>
      <c r="M10">
        <f t="shared" si="22"/>
        <v>0.66509877704609599</v>
      </c>
      <c r="N10">
        <f t="shared" si="22"/>
        <v>0.63723858455749327</v>
      </c>
      <c r="O10">
        <f t="shared" si="22"/>
        <v>0.43548737245820973</v>
      </c>
      <c r="P10">
        <f t="shared" si="22"/>
        <v>0.29242347492582677</v>
      </c>
      <c r="Q10">
        <f t="shared" si="22"/>
        <v>0.32310586873145669</v>
      </c>
      <c r="R10">
        <f t="shared" si="22"/>
        <v>0.27541790288732904</v>
      </c>
      <c r="S10">
        <f t="shared" si="22"/>
        <v>0.26072798321152035</v>
      </c>
      <c r="T10">
        <f t="shared" si="22"/>
        <v>0.27621390838700338</v>
      </c>
      <c r="U10">
        <f t="shared" si="22"/>
        <v>0.27990447934003909</v>
      </c>
      <c r="V10">
        <f t="shared" si="22"/>
        <v>0.33707214704392502</v>
      </c>
      <c r="W10">
        <f t="shared" si="22"/>
        <v>0.36782690498588899</v>
      </c>
      <c r="X10">
        <f t="shared" si="22"/>
        <v>0.3647152471235256</v>
      </c>
      <c r="Y10">
        <f t="shared" si="22"/>
        <v>0.38989796656776904</v>
      </c>
      <c r="Z10">
        <f t="shared" si="22"/>
        <v>0.42260655619075188</v>
      </c>
      <c r="AA10">
        <f t="shared" si="22"/>
        <v>0.44091468268326217</v>
      </c>
      <c r="AB10">
        <f t="shared" si="22"/>
        <v>0.52196251537737892</v>
      </c>
      <c r="AC10">
        <f t="shared" si="22"/>
        <v>0.3729647586656053</v>
      </c>
      <c r="AD10">
        <f t="shared" si="22"/>
        <v>0.23156523626890513</v>
      </c>
      <c r="AE10">
        <f t="shared" si="22"/>
        <v>0.25971488530284392</v>
      </c>
    </row>
    <row r="11" spans="1:31" x14ac:dyDescent="0.2">
      <c r="C11" s="3" t="s">
        <v>38</v>
      </c>
      <c r="D11">
        <f t="shared" si="21"/>
        <v>0.22454591504450394</v>
      </c>
      <c r="E11">
        <f t="shared" si="21"/>
        <v>0.26195817352919892</v>
      </c>
      <c r="F11">
        <f t="shared" ref="F11:AE11" si="23">F6/$D$8</f>
        <v>0.25710977639481875</v>
      </c>
      <c r="G11">
        <f t="shared" si="23"/>
        <v>0.30154135610391491</v>
      </c>
      <c r="H11">
        <f t="shared" si="23"/>
        <v>0.34727549026702365</v>
      </c>
      <c r="I11">
        <f t="shared" si="23"/>
        <v>0.52029814024169618</v>
      </c>
      <c r="J11">
        <f t="shared" si="23"/>
        <v>0.51942977060568785</v>
      </c>
      <c r="K11">
        <f t="shared" si="23"/>
        <v>0.47203126130689632</v>
      </c>
      <c r="L11">
        <f t="shared" si="23"/>
        <v>0.46132136912945942</v>
      </c>
      <c r="M11">
        <f t="shared" si="23"/>
        <v>0.49518778493378679</v>
      </c>
      <c r="N11">
        <f t="shared" si="23"/>
        <v>0.46305810840147621</v>
      </c>
      <c r="O11">
        <f t="shared" si="23"/>
        <v>0.24965627035241333</v>
      </c>
      <c r="P11">
        <f t="shared" si="23"/>
        <v>9.1612996598885596E-2</v>
      </c>
      <c r="Q11">
        <f t="shared" si="23"/>
        <v>0.154207974527824</v>
      </c>
      <c r="R11">
        <f t="shared" si="23"/>
        <v>0.18633765106013458</v>
      </c>
      <c r="S11">
        <f t="shared" si="23"/>
        <v>0.17367392720167885</v>
      </c>
      <c r="T11">
        <f t="shared" si="23"/>
        <v>0.19002822201317027</v>
      </c>
      <c r="U11">
        <f t="shared" si="23"/>
        <v>0.20377740791663651</v>
      </c>
      <c r="V11">
        <f t="shared" si="23"/>
        <v>0.22469064331717201</v>
      </c>
      <c r="W11">
        <f t="shared" si="23"/>
        <v>0.28229249583906219</v>
      </c>
      <c r="X11">
        <f t="shared" si="23"/>
        <v>0.34213763658730734</v>
      </c>
      <c r="Y11">
        <f t="shared" si="23"/>
        <v>0.40806136478761124</v>
      </c>
      <c r="Z11">
        <f t="shared" si="23"/>
        <v>0.46175555394746365</v>
      </c>
      <c r="AA11">
        <f t="shared" si="23"/>
        <v>0.52283088501338737</v>
      </c>
      <c r="AB11">
        <f t="shared" si="23"/>
        <v>0.56292061654244152</v>
      </c>
      <c r="AC11">
        <f t="shared" si="23"/>
        <v>0.57869599826326068</v>
      </c>
      <c r="AD11">
        <f t="shared" si="23"/>
        <v>0.46877487517186484</v>
      </c>
      <c r="AE11">
        <f t="shared" si="23"/>
        <v>0.42636949128012158</v>
      </c>
    </row>
    <row r="12" spans="1:31" x14ac:dyDescent="0.2">
      <c r="C12" s="3" t="s">
        <v>39</v>
      </c>
      <c r="D12">
        <f t="shared" si="21"/>
        <v>0.29915333960489182</v>
      </c>
      <c r="E12">
        <f t="shared" si="21"/>
        <v>0.19379115710253997</v>
      </c>
      <c r="F12">
        <f t="shared" ref="F12:AE12" si="24">F7/$D$8</f>
        <v>0.25819523843982922</v>
      </c>
      <c r="G12">
        <f t="shared" si="24"/>
        <v>0.27397062016064838</v>
      </c>
      <c r="H12">
        <f t="shared" si="24"/>
        <v>0.3380852449526015</v>
      </c>
      <c r="I12">
        <f t="shared" si="24"/>
        <v>0.422968376872422</v>
      </c>
      <c r="J12">
        <f t="shared" si="24"/>
        <v>0.51986395542369201</v>
      </c>
      <c r="K12">
        <f t="shared" si="24"/>
        <v>0.5367971633258557</v>
      </c>
      <c r="L12">
        <f t="shared" si="24"/>
        <v>0.57464360662855485</v>
      </c>
      <c r="M12">
        <f t="shared" si="24"/>
        <v>0.73912728851581155</v>
      </c>
      <c r="N12">
        <f t="shared" si="24"/>
        <v>0.45220348795137127</v>
      </c>
      <c r="O12">
        <f t="shared" si="24"/>
        <v>0.33982198422461829</v>
      </c>
      <c r="P12">
        <f t="shared" si="24"/>
        <v>0.16694406252261379</v>
      </c>
      <c r="Q12">
        <f t="shared" si="24"/>
        <v>0.18778493378681527</v>
      </c>
      <c r="R12">
        <f t="shared" si="24"/>
        <v>0.36587307330487012</v>
      </c>
      <c r="S12">
        <f t="shared" si="24"/>
        <v>0.36717562775888268</v>
      </c>
      <c r="T12">
        <f t="shared" si="24"/>
        <v>0.33953252767928216</v>
      </c>
      <c r="U12">
        <f t="shared" si="24"/>
        <v>0.27896374556769665</v>
      </c>
      <c r="V12">
        <f t="shared" si="24"/>
        <v>0.50445039438454298</v>
      </c>
      <c r="W12">
        <f t="shared" si="24"/>
        <v>0.72465446124900501</v>
      </c>
      <c r="X12">
        <f t="shared" si="24"/>
        <v>0.88790795281858315</v>
      </c>
      <c r="Y12">
        <f t="shared" si="24"/>
        <v>1.1592010999348723</v>
      </c>
      <c r="Z12">
        <f t="shared" si="24"/>
        <v>1.3616035892611622</v>
      </c>
      <c r="AA12">
        <f t="shared" si="24"/>
        <v>1.1215717490411752</v>
      </c>
      <c r="AB12">
        <f t="shared" si="24"/>
        <v>1.2961864100151965</v>
      </c>
      <c r="AC12">
        <f t="shared" si="24"/>
        <v>1.3189811129604168</v>
      </c>
      <c r="AD12">
        <f t="shared" si="24"/>
        <v>0.95701570301758454</v>
      </c>
      <c r="AE12">
        <f t="shared" si="24"/>
        <v>0.82842463275200806</v>
      </c>
    </row>
    <row r="14" spans="1:31" x14ac:dyDescent="0.2">
      <c r="C14" s="3" t="s">
        <v>43</v>
      </c>
      <c r="D14">
        <f>AVERAGE(D9:AE9)</f>
        <v>1.7183886041235687E-2</v>
      </c>
    </row>
    <row r="15" spans="1:31" x14ac:dyDescent="0.2">
      <c r="C15" s="3" t="s">
        <v>40</v>
      </c>
      <c r="D15">
        <f t="shared" ref="D15:D17" si="25">AVERAGE(D10:AE10)</f>
        <v>0.39208698169187345</v>
      </c>
    </row>
    <row r="16" spans="1:31" x14ac:dyDescent="0.2">
      <c r="C16" s="6" t="s">
        <v>41</v>
      </c>
      <c r="D16">
        <f t="shared" si="25"/>
        <v>0.35184218415638929</v>
      </c>
    </row>
    <row r="17" spans="1:4" x14ac:dyDescent="0.2">
      <c r="C17" s="3" t="s">
        <v>42</v>
      </c>
      <c r="D17">
        <f t="shared" si="25"/>
        <v>0.60053187640205519</v>
      </c>
    </row>
    <row r="28" spans="1:4" ht="160" x14ac:dyDescent="0.2">
      <c r="A28" s="5" t="s">
        <v>35</v>
      </c>
    </row>
  </sheetData>
  <pageMargins left="0.75" right="0.75" top="0.75" bottom="0.5" header="0.5" footer="0.75"/>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Regneark</vt:lpstr>
      </vt:variant>
      <vt:variant>
        <vt:i4>1</vt:i4>
      </vt:variant>
    </vt:vector>
  </HeadingPairs>
  <TitlesOfParts>
    <vt:vector size="1" baseType="lpstr">
      <vt:lpstr>BYGV02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Emil Nygård Eik</cp:lastModifiedBy>
  <dcterms:created xsi:type="dcterms:W3CDTF">2026-02-20T11:45:53Z</dcterms:created>
  <dcterms:modified xsi:type="dcterms:W3CDTF">2026-03-10T10:42:36Z</dcterms:modified>
</cp:coreProperties>
</file>