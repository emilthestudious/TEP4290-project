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ilnygaardeik/Documents/Industrial_Ecology/V_2026/MFA2/TEP4290-project/"/>
    </mc:Choice>
  </mc:AlternateContent>
  <xr:revisionPtr revIDLastSave="0" documentId="13_ncr:1_{05C94EF1-49A5-AF4F-81B0-1ED30EF53822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BOL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" l="1"/>
  <c r="N10" i="2" s="1"/>
  <c r="O8" i="2"/>
  <c r="O9" i="2" s="1"/>
  <c r="P8" i="2"/>
  <c r="P9" i="2" s="1"/>
  <c r="Q8" i="2"/>
  <c r="Q9" i="2" s="1"/>
  <c r="R8" i="2"/>
  <c r="R9" i="2" s="1"/>
  <c r="S8" i="2"/>
  <c r="S9" i="2" s="1"/>
  <c r="T8" i="2"/>
  <c r="T12" i="2" s="1"/>
  <c r="U8" i="2"/>
  <c r="U11" i="2" s="1"/>
  <c r="V8" i="2"/>
  <c r="V10" i="2" s="1"/>
  <c r="W8" i="2"/>
  <c r="W9" i="2" s="1"/>
  <c r="X8" i="2"/>
  <c r="X9" i="2" s="1"/>
  <c r="Y8" i="2"/>
  <c r="Y9" i="2" s="1"/>
  <c r="Z8" i="2"/>
  <c r="Z9" i="2" s="1"/>
  <c r="AA8" i="2"/>
  <c r="AA9" i="2" s="1"/>
  <c r="C8" i="2"/>
  <c r="C9" i="2" s="1"/>
  <c r="D8" i="2"/>
  <c r="D12" i="2" s="1"/>
  <c r="E8" i="2"/>
  <c r="E11" i="2" s="1"/>
  <c r="F8" i="2"/>
  <c r="F10" i="2" s="1"/>
  <c r="G8" i="2"/>
  <c r="G9" i="2" s="1"/>
  <c r="H8" i="2"/>
  <c r="H9" i="2" s="1"/>
  <c r="I8" i="2"/>
  <c r="I9" i="2" s="1"/>
  <c r="J8" i="2"/>
  <c r="J9" i="2" s="1"/>
  <c r="K8" i="2"/>
  <c r="K9" i="2" s="1"/>
  <c r="L8" i="2"/>
  <c r="L12" i="2" s="1"/>
  <c r="M8" i="2"/>
  <c r="M11" i="2" s="1"/>
  <c r="B8" i="2"/>
  <c r="B12" i="2" s="1"/>
  <c r="AA12" i="2" l="1"/>
  <c r="S12" i="2"/>
  <c r="K12" i="2"/>
  <c r="C12" i="2"/>
  <c r="B16" i="2" s="1"/>
  <c r="T11" i="2"/>
  <c r="L11" i="2"/>
  <c r="D11" i="2"/>
  <c r="U10" i="2"/>
  <c r="M10" i="2"/>
  <c r="E10" i="2"/>
  <c r="V9" i="2"/>
  <c r="N9" i="2"/>
  <c r="F9" i="2"/>
  <c r="Z12" i="2"/>
  <c r="R12" i="2"/>
  <c r="J12" i="2"/>
  <c r="AA11" i="2"/>
  <c r="S11" i="2"/>
  <c r="K11" i="2"/>
  <c r="C11" i="2"/>
  <c r="T10" i="2"/>
  <c r="L10" i="2"/>
  <c r="D10" i="2"/>
  <c r="U9" i="2"/>
  <c r="M9" i="2"/>
  <c r="E9" i="2"/>
  <c r="Y12" i="2"/>
  <c r="Q12" i="2"/>
  <c r="I12" i="2"/>
  <c r="Z11" i="2"/>
  <c r="R11" i="2"/>
  <c r="J11" i="2"/>
  <c r="AA10" i="2"/>
  <c r="S10" i="2"/>
  <c r="K10" i="2"/>
  <c r="C10" i="2"/>
  <c r="T9" i="2"/>
  <c r="L9" i="2"/>
  <c r="D9" i="2"/>
  <c r="X12" i="2"/>
  <c r="P12" i="2"/>
  <c r="H12" i="2"/>
  <c r="Y11" i="2"/>
  <c r="Q11" i="2"/>
  <c r="I11" i="2"/>
  <c r="Z10" i="2"/>
  <c r="R10" i="2"/>
  <c r="J10" i="2"/>
  <c r="B9" i="2"/>
  <c r="W12" i="2"/>
  <c r="O12" i="2"/>
  <c r="G12" i="2"/>
  <c r="X11" i="2"/>
  <c r="P11" i="2"/>
  <c r="H11" i="2"/>
  <c r="Y10" i="2"/>
  <c r="Q10" i="2"/>
  <c r="I10" i="2"/>
  <c r="B10" i="2"/>
  <c r="V12" i="2"/>
  <c r="N12" i="2"/>
  <c r="F12" i="2"/>
  <c r="W11" i="2"/>
  <c r="O11" i="2"/>
  <c r="G11" i="2"/>
  <c r="X10" i="2"/>
  <c r="P10" i="2"/>
  <c r="H10" i="2"/>
  <c r="B11" i="2"/>
  <c r="U12" i="2"/>
  <c r="M12" i="2"/>
  <c r="E12" i="2"/>
  <c r="V11" i="2"/>
  <c r="N11" i="2"/>
  <c r="F11" i="2"/>
  <c r="W10" i="2"/>
  <c r="O10" i="2"/>
  <c r="G10" i="2"/>
  <c r="B15" i="2" l="1"/>
  <c r="B14" i="2"/>
  <c r="B13" i="2"/>
</calcChain>
</file>

<file path=xl/sharedStrings.xml><?xml version="1.0" encoding="utf-8"?>
<sst xmlns="http://schemas.openxmlformats.org/spreadsheetml/2006/main" count="42" uniqueCount="42">
  <si>
    <t>Beboede boliger efter boligart og tid</t>
  </si>
  <si>
    <t>Enhed: Antal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</si>
  <si>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</si>
  <si>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</si>
  <si>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</si>
  <si>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</si>
  <si>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</si>
  <si>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</si>
  <si>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</si>
  <si>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</si>
  <si>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</si>
  <si>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</si>
  <si>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</si>
  <si>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</si>
  <si>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</si>
  <si>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</si>
  <si>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</si>
  <si>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</si>
  <si>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</si>
  <si>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</si>
  <si>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</si>
  <si>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</si>
  <si>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</si>
  <si>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</si>
  <si>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</si>
  <si>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</si>
  <si>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</si>
  <si>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</si>
  <si>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Stuehuse til landbrugsejendomme</t>
  </si>
  <si>
    <t>Parcelhuse</t>
  </si>
  <si>
    <t>Række-, kæde- og dobbelthuse</t>
  </si>
  <si>
    <t>Etageboliger</t>
  </si>
  <si>
    <t xml:space="preserve">På grund af metodeændring findes der databrud fra 2004 til 2005, fordi en større andel af samtlige husstande i hele landet har fået tilknyttet en bolig. BOLIGART: På grund af metodeændring findes der kun oplysninger på uoplyst boligart fra 2005 </t>
  </si>
  <si>
    <t>Sum</t>
  </si>
  <si>
    <t>Stuehuse ratio</t>
  </si>
  <si>
    <t>Parcelhuse ratio</t>
  </si>
  <si>
    <t>Rekkehus ratio</t>
  </si>
  <si>
    <t>Etageboliger ratio</t>
  </si>
  <si>
    <t>Avg ratio stuehuse</t>
  </si>
  <si>
    <t>Avg ratio parcelhuse</t>
  </si>
  <si>
    <t>Avg ratio rekkehus</t>
  </si>
  <si>
    <t>Avg ratio etageboliger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</si>
</sst>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tabSelected="1" workbookViewId="0">
      <selection activeCell="E23" sqref="E23"/>
    </sheetView>
  </sheetViews>
  <sheetFormatPr baseColWidth="10" defaultColWidth="8.83203125" defaultRowHeight="15" x14ac:dyDescent="0.2"/>
  <cols>
    <col min="1" max="1" width="40.6640625" customWidth="1"/>
    <col min="2" max="27" width="9" customWidth="1"/>
  </cols>
  <sheetData>
    <row r="1" spans="1:27" ht="17" x14ac:dyDescent="0.2">
      <c r="A1" s="1" t="s">
        <v>0</v>
      </c>
    </row>
    <row r="2" spans="1:27" x14ac:dyDescent="0.2">
      <c r="A2" s="2" t="s">
        <v>1</v>
      </c>
    </row>
    <row r="3" spans="1:27" x14ac:dyDescent="0.2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</row>
    <row r="4" spans="1:27" x14ac:dyDescent="0.2">
      <c r="A4" s="3" t="s">
        <v>28</v>
      </c>
      <c r="B4" s="4">
        <v>156175</v>
      </c>
      <c r="C4" s="4">
        <v>155198</v>
      </c>
      <c r="D4" s="4">
        <v>154763</v>
      </c>
      <c r="E4" s="4">
        <v>153908</v>
      </c>
      <c r="F4" s="4">
        <v>152932</v>
      </c>
      <c r="G4" s="4">
        <v>151933</v>
      </c>
      <c r="H4" s="4">
        <v>149578</v>
      </c>
      <c r="I4" s="4">
        <v>148038</v>
      </c>
      <c r="J4" s="4">
        <v>146994</v>
      </c>
      <c r="K4" s="4">
        <v>145984</v>
      </c>
      <c r="L4" s="4">
        <v>145225</v>
      </c>
      <c r="M4" s="4">
        <v>144204</v>
      </c>
      <c r="N4" s="4">
        <v>142481</v>
      </c>
      <c r="O4" s="4">
        <v>141450</v>
      </c>
      <c r="P4" s="4">
        <v>140484</v>
      </c>
      <c r="Q4" s="4">
        <v>139600</v>
      </c>
      <c r="R4" s="4">
        <v>135334</v>
      </c>
      <c r="S4" s="4">
        <v>131223</v>
      </c>
      <c r="T4" s="4">
        <v>127495</v>
      </c>
      <c r="U4" s="4">
        <v>124640</v>
      </c>
      <c r="V4" s="4">
        <v>122336</v>
      </c>
      <c r="W4" s="4">
        <v>120290</v>
      </c>
      <c r="X4" s="4">
        <v>118981</v>
      </c>
      <c r="Y4" s="4">
        <v>118044</v>
      </c>
      <c r="Z4" s="4">
        <v>116727</v>
      </c>
      <c r="AA4" s="4">
        <v>115794</v>
      </c>
    </row>
    <row r="5" spans="1:27" x14ac:dyDescent="0.2">
      <c r="A5" s="3" t="s">
        <v>29</v>
      </c>
      <c r="B5" s="4">
        <v>862773</v>
      </c>
      <c r="C5" s="4">
        <v>870972</v>
      </c>
      <c r="D5" s="4">
        <v>877693</v>
      </c>
      <c r="E5" s="4">
        <v>884395</v>
      </c>
      <c r="F5" s="4">
        <v>893335</v>
      </c>
      <c r="G5" s="4">
        <v>902767</v>
      </c>
      <c r="H5" s="4">
        <v>914615</v>
      </c>
      <c r="I5" s="4">
        <v>921164</v>
      </c>
      <c r="J5" s="4">
        <v>924509</v>
      </c>
      <c r="K5" s="4">
        <v>927804</v>
      </c>
      <c r="L5" s="4">
        <v>931724</v>
      </c>
      <c r="M5" s="4">
        <v>935024</v>
      </c>
      <c r="N5" s="4">
        <v>939480</v>
      </c>
      <c r="O5" s="4">
        <v>942446</v>
      </c>
      <c r="P5" s="4">
        <v>947344</v>
      </c>
      <c r="Q5" s="4">
        <v>952676</v>
      </c>
      <c r="R5" s="4">
        <v>961583</v>
      </c>
      <c r="S5" s="4">
        <v>970929</v>
      </c>
      <c r="T5" s="4">
        <v>982052</v>
      </c>
      <c r="U5" s="4">
        <v>989681</v>
      </c>
      <c r="V5" s="4">
        <v>996156</v>
      </c>
      <c r="W5" s="4">
        <v>1000562</v>
      </c>
      <c r="X5" s="4">
        <v>1004861</v>
      </c>
      <c r="Y5" s="4">
        <v>1008337</v>
      </c>
      <c r="Z5" s="4">
        <v>1013555</v>
      </c>
      <c r="AA5" s="4">
        <v>1019387</v>
      </c>
    </row>
    <row r="6" spans="1:27" x14ac:dyDescent="0.2">
      <c r="A6" s="3" t="s">
        <v>30</v>
      </c>
      <c r="B6" s="4">
        <v>157210</v>
      </c>
      <c r="C6" s="4">
        <v>165979</v>
      </c>
      <c r="D6" s="4">
        <v>176027</v>
      </c>
      <c r="E6" s="4">
        <v>186740</v>
      </c>
      <c r="F6" s="4">
        <v>197874</v>
      </c>
      <c r="G6" s="4">
        <v>210516</v>
      </c>
      <c r="H6" s="4">
        <v>221497</v>
      </c>
      <c r="I6" s="4">
        <v>232533</v>
      </c>
      <c r="J6" s="4">
        <v>243345</v>
      </c>
      <c r="K6" s="4">
        <v>255618</v>
      </c>
      <c r="L6" s="4">
        <v>267085</v>
      </c>
      <c r="M6" s="4">
        <v>274512</v>
      </c>
      <c r="N6" s="4">
        <v>282259</v>
      </c>
      <c r="O6" s="4">
        <v>287087</v>
      </c>
      <c r="P6" s="4">
        <v>291350</v>
      </c>
      <c r="Q6" s="4">
        <v>294436</v>
      </c>
      <c r="R6" s="4">
        <v>296929</v>
      </c>
      <c r="S6" s="4">
        <v>300159</v>
      </c>
      <c r="T6" s="4">
        <v>302703</v>
      </c>
      <c r="U6" s="4">
        <v>306226</v>
      </c>
      <c r="V6" s="4">
        <v>311974</v>
      </c>
      <c r="W6" s="4">
        <v>316834</v>
      </c>
      <c r="X6" s="4">
        <v>322630</v>
      </c>
      <c r="Y6" s="4">
        <v>330567</v>
      </c>
      <c r="Z6" s="4">
        <v>339815</v>
      </c>
      <c r="AA6" s="4">
        <v>346175</v>
      </c>
    </row>
    <row r="7" spans="1:27" x14ac:dyDescent="0.2">
      <c r="A7" s="3" t="s">
        <v>31</v>
      </c>
      <c r="B7" s="4">
        <v>820991</v>
      </c>
      <c r="C7" s="4">
        <v>827461</v>
      </c>
      <c r="D7" s="4">
        <v>838673</v>
      </c>
      <c r="E7" s="4">
        <v>842560</v>
      </c>
      <c r="F7" s="4">
        <v>842453</v>
      </c>
      <c r="G7" s="4">
        <v>846499</v>
      </c>
      <c r="H7" s="4">
        <v>847232</v>
      </c>
      <c r="I7" s="4">
        <v>851895</v>
      </c>
      <c r="J7" s="4">
        <v>855046</v>
      </c>
      <c r="K7" s="4">
        <v>860719</v>
      </c>
      <c r="L7" s="4">
        <v>867515</v>
      </c>
      <c r="M7" s="4">
        <v>876159</v>
      </c>
      <c r="N7" s="4">
        <v>880580</v>
      </c>
      <c r="O7" s="4">
        <v>886794</v>
      </c>
      <c r="P7" s="4">
        <v>893682</v>
      </c>
      <c r="Q7" s="4">
        <v>901780</v>
      </c>
      <c r="R7" s="4">
        <v>907741</v>
      </c>
      <c r="S7" s="4">
        <v>911410</v>
      </c>
      <c r="T7" s="4">
        <v>915848</v>
      </c>
      <c r="U7" s="4">
        <v>918913</v>
      </c>
      <c r="V7" s="4">
        <v>924609</v>
      </c>
      <c r="W7" s="4">
        <v>928922</v>
      </c>
      <c r="X7" s="4">
        <v>932647</v>
      </c>
      <c r="Y7" s="4">
        <v>935268</v>
      </c>
      <c r="Z7" s="4">
        <v>948443</v>
      </c>
      <c r="AA7" s="4">
        <v>953320</v>
      </c>
    </row>
    <row r="8" spans="1:27" x14ac:dyDescent="0.2">
      <c r="A8" s="3" t="s">
        <v>33</v>
      </c>
      <c r="B8">
        <f>B4+B5+B6+B7</f>
        <v>1997149</v>
      </c>
      <c r="C8">
        <f t="shared" ref="C8:N8" si="0">C4+C5+C6+C7</f>
        <v>2019610</v>
      </c>
      <c r="D8">
        <f t="shared" si="0"/>
        <v>2047156</v>
      </c>
      <c r="E8">
        <f t="shared" si="0"/>
        <v>2067603</v>
      </c>
      <c r="F8">
        <f t="shared" si="0"/>
        <v>2086594</v>
      </c>
      <c r="G8">
        <f t="shared" si="0"/>
        <v>2111715</v>
      </c>
      <c r="H8">
        <f t="shared" si="0"/>
        <v>2132922</v>
      </c>
      <c r="I8">
        <f t="shared" si="0"/>
        <v>2153630</v>
      </c>
      <c r="J8">
        <f t="shared" si="0"/>
        <v>2169894</v>
      </c>
      <c r="K8">
        <f t="shared" si="0"/>
        <v>2190125</v>
      </c>
      <c r="L8">
        <f t="shared" si="0"/>
        <v>2211549</v>
      </c>
      <c r="M8">
        <f t="shared" si="0"/>
        <v>2229899</v>
      </c>
      <c r="N8">
        <f t="shared" si="0"/>
        <v>2244800</v>
      </c>
      <c r="O8">
        <f t="shared" ref="O8" si="1">O4+O5+O6+O7</f>
        <v>2257777</v>
      </c>
      <c r="P8">
        <f t="shared" ref="P8" si="2">P4+P5+P6+P7</f>
        <v>2272860</v>
      </c>
      <c r="Q8">
        <f t="shared" ref="Q8" si="3">Q4+Q5+Q6+Q7</f>
        <v>2288492</v>
      </c>
      <c r="R8">
        <f t="shared" ref="R8" si="4">R4+R5+R6+R7</f>
        <v>2301587</v>
      </c>
      <c r="S8">
        <f t="shared" ref="S8" si="5">S4+S5+S6+S7</f>
        <v>2313721</v>
      </c>
      <c r="T8">
        <f t="shared" ref="T8" si="6">T4+T5+T6+T7</f>
        <v>2328098</v>
      </c>
      <c r="U8">
        <f t="shared" ref="U8" si="7">U4+U5+U6+U7</f>
        <v>2339460</v>
      </c>
      <c r="V8">
        <f t="shared" ref="V8" si="8">V4+V5+V6+V7</f>
        <v>2355075</v>
      </c>
      <c r="W8">
        <f t="shared" ref="W8" si="9">W4+W5+W6+W7</f>
        <v>2366608</v>
      </c>
      <c r="X8">
        <f t="shared" ref="X8" si="10">X4+X5+X6+X7</f>
        <v>2379119</v>
      </c>
      <c r="Y8">
        <f t="shared" ref="Y8:Z8" si="11">Y4+Y5+Y6+Y7</f>
        <v>2392216</v>
      </c>
      <c r="Z8">
        <f t="shared" si="11"/>
        <v>2418540</v>
      </c>
      <c r="AA8">
        <f t="shared" ref="AA8" si="12">AA4+AA5+AA6+AA7</f>
        <v>2434676</v>
      </c>
    </row>
    <row r="9" spans="1:27" x14ac:dyDescent="0.2">
      <c r="A9" s="3" t="s">
        <v>34</v>
      </c>
      <c r="B9">
        <f>B4/B8</f>
        <v>7.8198972635491887E-2</v>
      </c>
      <c r="C9">
        <f t="shared" ref="C9:AA9" si="13">C4/C8</f>
        <v>7.684552958244413E-2</v>
      </c>
      <c r="D9">
        <f t="shared" si="13"/>
        <v>7.5599026161171895E-2</v>
      </c>
      <c r="E9">
        <f t="shared" si="13"/>
        <v>7.4437887737636294E-2</v>
      </c>
      <c r="F9">
        <f t="shared" si="13"/>
        <v>7.3292648210432881E-2</v>
      </c>
      <c r="G9">
        <f t="shared" si="13"/>
        <v>7.1947682334027083E-2</v>
      </c>
      <c r="H9">
        <f t="shared" si="13"/>
        <v>7.0128209095316196E-2</v>
      </c>
      <c r="I9">
        <f t="shared" si="13"/>
        <v>6.8738827003710021E-2</v>
      </c>
      <c r="J9">
        <f t="shared" si="13"/>
        <v>6.7742479586560447E-2</v>
      </c>
      <c r="K9">
        <f t="shared" si="13"/>
        <v>6.6655556189715193E-2</v>
      </c>
      <c r="L9">
        <f t="shared" si="13"/>
        <v>6.5666643605906988E-2</v>
      </c>
      <c r="M9">
        <f t="shared" si="13"/>
        <v>6.4668399779541585E-2</v>
      </c>
      <c r="N9">
        <f t="shared" si="13"/>
        <v>6.3471578759800432E-2</v>
      </c>
      <c r="O9">
        <f t="shared" si="13"/>
        <v>6.2650120007423232E-2</v>
      </c>
      <c r="P9">
        <f t="shared" si="13"/>
        <v>6.1809350333940499E-2</v>
      </c>
      <c r="Q9">
        <f t="shared" si="13"/>
        <v>6.1000868694319227E-2</v>
      </c>
      <c r="R9">
        <f t="shared" si="13"/>
        <v>5.8800297360038965E-2</v>
      </c>
      <c r="S9">
        <f t="shared" si="13"/>
        <v>5.6715135489542601E-2</v>
      </c>
      <c r="T9">
        <f t="shared" si="13"/>
        <v>5.4763588130740198E-2</v>
      </c>
      <c r="U9">
        <f t="shared" si="13"/>
        <v>5.3277252015422362E-2</v>
      </c>
      <c r="V9">
        <f t="shared" si="13"/>
        <v>5.1945691750793499E-2</v>
      </c>
      <c r="W9">
        <f t="shared" si="13"/>
        <v>5.0828020525579228E-2</v>
      </c>
      <c r="X9">
        <f t="shared" si="13"/>
        <v>5.001052910762345E-2</v>
      </c>
      <c r="Y9">
        <f t="shared" si="13"/>
        <v>4.9345042420918514E-2</v>
      </c>
      <c r="Z9">
        <f t="shared" si="13"/>
        <v>4.8263415118211812E-2</v>
      </c>
      <c r="AA9">
        <f t="shared" si="13"/>
        <v>4.7560332463128567E-2</v>
      </c>
    </row>
    <row r="10" spans="1:27" x14ac:dyDescent="0.2">
      <c r="A10" s="3" t="s">
        <v>35</v>
      </c>
      <c r="B10">
        <f>B5/B8</f>
        <v>0.43200231930617095</v>
      </c>
      <c r="C10">
        <f t="shared" ref="C10:AA10" si="14">C5/C8</f>
        <v>0.43125752001624074</v>
      </c>
      <c r="D10">
        <f t="shared" si="14"/>
        <v>0.4287377219908986</v>
      </c>
      <c r="E10">
        <f t="shared" si="14"/>
        <v>0.42773927103027032</v>
      </c>
      <c r="F10">
        <f t="shared" si="14"/>
        <v>0.42813072404118868</v>
      </c>
      <c r="G10">
        <f t="shared" si="14"/>
        <v>0.42750418498708398</v>
      </c>
      <c r="H10">
        <f t="shared" si="14"/>
        <v>0.42880846088136371</v>
      </c>
      <c r="I10">
        <f t="shared" si="14"/>
        <v>0.42772621109475628</v>
      </c>
      <c r="J10">
        <f t="shared" si="14"/>
        <v>0.42606182606154958</v>
      </c>
      <c r="K10">
        <f t="shared" si="14"/>
        <v>0.42363061469094232</v>
      </c>
      <c r="L10">
        <f t="shared" si="14"/>
        <v>0.42129927937386874</v>
      </c>
      <c r="M10">
        <f t="shared" si="14"/>
        <v>0.41931226481558131</v>
      </c>
      <c r="N10">
        <f t="shared" si="14"/>
        <v>0.41851389878831075</v>
      </c>
      <c r="O10">
        <f t="shared" si="14"/>
        <v>0.41742209261587837</v>
      </c>
      <c r="P10">
        <f t="shared" si="14"/>
        <v>0.41680701847012136</v>
      </c>
      <c r="Q10">
        <f t="shared" si="14"/>
        <v>0.41628985375522398</v>
      </c>
      <c r="R10">
        <f t="shared" si="14"/>
        <v>0.4177912892278241</v>
      </c>
      <c r="S10">
        <f t="shared" si="14"/>
        <v>0.41963961947010897</v>
      </c>
      <c r="T10">
        <f t="shared" si="14"/>
        <v>0.421825885336442</v>
      </c>
      <c r="U10">
        <f t="shared" si="14"/>
        <v>0.42303822249578965</v>
      </c>
      <c r="V10">
        <f t="shared" si="14"/>
        <v>0.42298270755708417</v>
      </c>
      <c r="W10">
        <f t="shared" si="14"/>
        <v>0.42278315631486074</v>
      </c>
      <c r="X10">
        <f t="shared" si="14"/>
        <v>0.42236685092254739</v>
      </c>
      <c r="Y10">
        <f t="shared" si="14"/>
        <v>0.42150750601116288</v>
      </c>
      <c r="Z10">
        <f t="shared" si="14"/>
        <v>0.41907721187162505</v>
      </c>
      <c r="AA10">
        <f t="shared" si="14"/>
        <v>0.41869513643704542</v>
      </c>
    </row>
    <row r="11" spans="1:27" x14ac:dyDescent="0.2">
      <c r="A11" s="3" t="s">
        <v>36</v>
      </c>
      <c r="B11">
        <f>B6/B8</f>
        <v>7.8717211384829081E-2</v>
      </c>
      <c r="C11">
        <f t="shared" ref="C11:AA11" si="15">C6/C8</f>
        <v>8.2183688930040952E-2</v>
      </c>
      <c r="D11">
        <f t="shared" si="15"/>
        <v>8.5986119279625003E-2</v>
      </c>
      <c r="E11">
        <f t="shared" si="15"/>
        <v>9.031714502252125E-2</v>
      </c>
      <c r="F11">
        <f t="shared" si="15"/>
        <v>9.4831097951973406E-2</v>
      </c>
      <c r="G11">
        <f t="shared" si="15"/>
        <v>9.9689588793942366E-2</v>
      </c>
      <c r="H11">
        <f t="shared" si="15"/>
        <v>0.103846741699884</v>
      </c>
      <c r="I11">
        <f t="shared" si="15"/>
        <v>0.10797258582021982</v>
      </c>
      <c r="J11">
        <f t="shared" si="15"/>
        <v>0.11214603109644987</v>
      </c>
      <c r="K11">
        <f t="shared" si="15"/>
        <v>0.1167138861937104</v>
      </c>
      <c r="L11">
        <f t="shared" si="15"/>
        <v>0.12076829407804213</v>
      </c>
      <c r="M11">
        <f t="shared" si="15"/>
        <v>0.12310512718289035</v>
      </c>
      <c r="N11">
        <f t="shared" si="15"/>
        <v>0.12573904133998576</v>
      </c>
      <c r="O11">
        <f t="shared" si="15"/>
        <v>0.12715471900014927</v>
      </c>
      <c r="P11">
        <f t="shared" si="15"/>
        <v>0.12818651390758778</v>
      </c>
      <c r="Q11">
        <f t="shared" si="15"/>
        <v>0.12865939666819898</v>
      </c>
      <c r="R11">
        <f t="shared" si="15"/>
        <v>0.12901054793931319</v>
      </c>
      <c r="S11">
        <f t="shared" si="15"/>
        <v>0.1297299890522669</v>
      </c>
      <c r="T11">
        <f t="shared" si="15"/>
        <v>0.1300215884382874</v>
      </c>
      <c r="U11">
        <f t="shared" si="15"/>
        <v>0.13089601873936721</v>
      </c>
      <c r="V11">
        <f t="shared" si="15"/>
        <v>0.13246881734127364</v>
      </c>
      <c r="W11">
        <f t="shared" si="15"/>
        <v>0.13387683976391526</v>
      </c>
      <c r="X11">
        <f t="shared" si="15"/>
        <v>0.13560902165885774</v>
      </c>
      <c r="Y11">
        <f t="shared" si="15"/>
        <v>0.13818442816200543</v>
      </c>
      <c r="Z11">
        <f t="shared" si="15"/>
        <v>0.14050418847734583</v>
      </c>
      <c r="AA11">
        <f t="shared" si="15"/>
        <v>0.14218524353959214</v>
      </c>
    </row>
    <row r="12" spans="1:27" x14ac:dyDescent="0.2">
      <c r="A12" s="3" t="s">
        <v>37</v>
      </c>
      <c r="B12">
        <f>B7/B8</f>
        <v>0.41108149667350807</v>
      </c>
      <c r="C12">
        <f t="shared" ref="C12:AA12" si="16">C7/C8</f>
        <v>0.40971326147127418</v>
      </c>
      <c r="D12">
        <f t="shared" si="16"/>
        <v>0.40967713256830451</v>
      </c>
      <c r="E12">
        <f t="shared" si="16"/>
        <v>0.40750569620957217</v>
      </c>
      <c r="F12">
        <f t="shared" si="16"/>
        <v>0.40374552979640504</v>
      </c>
      <c r="G12">
        <f t="shared" si="16"/>
        <v>0.40085854388494657</v>
      </c>
      <c r="H12">
        <f t="shared" si="16"/>
        <v>0.39721658832343609</v>
      </c>
      <c r="I12">
        <f t="shared" si="16"/>
        <v>0.39556237608131389</v>
      </c>
      <c r="J12">
        <f t="shared" si="16"/>
        <v>0.39404966325544011</v>
      </c>
      <c r="K12">
        <f t="shared" si="16"/>
        <v>0.39299994292563212</v>
      </c>
      <c r="L12">
        <f t="shared" si="16"/>
        <v>0.39226578294218217</v>
      </c>
      <c r="M12">
        <f t="shared" si="16"/>
        <v>0.39291420822198675</v>
      </c>
      <c r="N12">
        <f t="shared" si="16"/>
        <v>0.39227548111190308</v>
      </c>
      <c r="O12">
        <f t="shared" si="16"/>
        <v>0.39277306837654913</v>
      </c>
      <c r="P12">
        <f t="shared" si="16"/>
        <v>0.39319711728835038</v>
      </c>
      <c r="Q12">
        <f t="shared" si="16"/>
        <v>0.39404988088225784</v>
      </c>
      <c r="R12">
        <f t="shared" si="16"/>
        <v>0.39439786547282374</v>
      </c>
      <c r="S12">
        <f t="shared" si="16"/>
        <v>0.39391525598808153</v>
      </c>
      <c r="T12">
        <f t="shared" si="16"/>
        <v>0.3933889380945304</v>
      </c>
      <c r="U12">
        <f t="shared" si="16"/>
        <v>0.39278850674942078</v>
      </c>
      <c r="V12">
        <f t="shared" si="16"/>
        <v>0.39260278335084869</v>
      </c>
      <c r="W12">
        <f t="shared" si="16"/>
        <v>0.39251198339564475</v>
      </c>
      <c r="X12">
        <f t="shared" si="16"/>
        <v>0.39201359831097143</v>
      </c>
      <c r="Y12">
        <f t="shared" si="16"/>
        <v>0.39096302340591316</v>
      </c>
      <c r="Z12">
        <f t="shared" si="16"/>
        <v>0.39215518453281734</v>
      </c>
      <c r="AA12">
        <f t="shared" si="16"/>
        <v>0.39155928756023389</v>
      </c>
    </row>
    <row r="13" spans="1:27" x14ac:dyDescent="0.2">
      <c r="A13" s="3" t="s">
        <v>38</v>
      </c>
      <c r="B13" s="6">
        <f>SUM(B9:AA9)/26</f>
        <v>6.2475503234593735E-2</v>
      </c>
    </row>
    <row r="14" spans="1:27" x14ac:dyDescent="0.2">
      <c r="A14" s="3" t="s">
        <v>39</v>
      </c>
      <c r="B14" s="6">
        <f>SUM(B10:AA10)/26</f>
        <v>0.42311349413707461</v>
      </c>
    </row>
    <row r="15" spans="1:27" x14ac:dyDescent="0.2">
      <c r="A15" s="3" t="s">
        <v>40</v>
      </c>
      <c r="B15" s="6">
        <f>SUM(B11:AA11)/26</f>
        <v>0.11801937967162596</v>
      </c>
    </row>
    <row r="16" spans="1:27" x14ac:dyDescent="0.2">
      <c r="A16" s="3" t="s">
        <v>41</v>
      </c>
      <c r="B16" s="6">
        <f>SUM(B12:AA12)/26</f>
        <v>0.39639162295670566</v>
      </c>
    </row>
    <row r="28" spans="1:1" ht="80" x14ac:dyDescent="0.2">
      <c r="A28" s="5" t="s">
        <v>32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 Nygård Eik</cp:lastModifiedBy>
  <dcterms:created xsi:type="dcterms:W3CDTF">2026-02-28T15:50:46Z</dcterms:created>
  <dcterms:modified xsi:type="dcterms:W3CDTF">2026-03-02T10:17:17Z</dcterms:modified>
</cp:coreProperties>
</file>